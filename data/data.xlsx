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033513\Documents\Personales\SOPRIM\Automatizacion RespiradoresIA\Automatizacion Respiradores\data\"/>
    </mc:Choice>
  </mc:AlternateContent>
  <xr:revisionPtr revIDLastSave="0" documentId="13_ncr:1_{C321133B-2C86-4B22-808B-5F7B12441972}" xr6:coauthVersionLast="47" xr6:coauthVersionMax="47" xr10:uidLastSave="{00000000-0000-0000-0000-000000000000}"/>
  <bookViews>
    <workbookView xWindow="-28920" yWindow="-120" windowWidth="29040" windowHeight="15720" xr2:uid="{0D22A928-69C3-44A8-854C-1147D1DCFE9B}"/>
  </bookViews>
  <sheets>
    <sheet name="MPs" sheetId="1" r:id="rId1"/>
  </sheets>
  <definedNames>
    <definedName name="_xlnm._FilterDatabase" localSheetId="0" hidden="1">MPs!$A$1:$DY$448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448" i="1" l="1"/>
  <c r="AR448" i="1"/>
  <c r="DV447" i="1"/>
  <c r="AR447" i="1"/>
  <c r="DV446" i="1"/>
  <c r="AR446" i="1"/>
  <c r="DS445" i="1" a="1"/>
  <c r="DS445" i="1" s="1"/>
  <c r="DR445" i="1"/>
  <c r="DQ445" i="1"/>
  <c r="AR445" i="1"/>
  <c r="DS444" i="1" a="1"/>
  <c r="DS444" i="1" s="1"/>
  <c r="DR444" i="1"/>
  <c r="DQ444" i="1"/>
  <c r="AR444" i="1"/>
  <c r="DV443" i="1"/>
  <c r="AR443" i="1"/>
  <c r="DV442" i="1"/>
  <c r="AR442" i="1"/>
  <c r="DS441" i="1" a="1"/>
  <c r="DS441" i="1" s="1"/>
  <c r="DR441" i="1"/>
  <c r="DQ441" i="1"/>
  <c r="AR441" i="1"/>
  <c r="DS440" i="1" a="1"/>
  <c r="DS440" i="1" s="1"/>
  <c r="DR440" i="1"/>
  <c r="DQ440" i="1"/>
  <c r="AR440" i="1"/>
  <c r="DV439" i="1"/>
  <c r="AR439" i="1"/>
  <c r="DV438" i="1"/>
  <c r="AR438" i="1"/>
  <c r="DS437" i="1" a="1"/>
  <c r="DS437" i="1" s="1"/>
  <c r="DR437" i="1"/>
  <c r="DS436" i="1" a="1"/>
  <c r="DS436" i="1" s="1"/>
  <c r="DR436" i="1"/>
  <c r="DV435" i="1"/>
  <c r="AR435" i="1"/>
  <c r="DV434" i="1"/>
  <c r="DS433" i="1" a="1"/>
  <c r="DS433" i="1" s="1"/>
  <c r="DR433" i="1"/>
  <c r="DS432" i="1" a="1"/>
  <c r="DS432" i="1" s="1"/>
  <c r="DR432" i="1"/>
  <c r="DV431" i="1"/>
  <c r="AR431" i="1"/>
  <c r="DV430" i="1"/>
  <c r="DS429" i="1" a="1"/>
  <c r="DS429" i="1" s="1"/>
  <c r="DR429" i="1"/>
  <c r="DS428" i="1" a="1"/>
  <c r="DS428" i="1" s="1"/>
  <c r="DR428" i="1"/>
  <c r="DV427" i="1"/>
  <c r="AR427" i="1"/>
  <c r="DV426" i="1"/>
  <c r="DV425" i="1"/>
  <c r="DV424" i="1"/>
  <c r="AR424" i="1"/>
  <c r="DV423" i="1"/>
  <c r="AR423" i="1"/>
  <c r="DV422" i="1"/>
  <c r="AR422" i="1"/>
  <c r="DV421" i="1"/>
  <c r="AR421" i="1"/>
  <c r="DV420" i="1"/>
  <c r="AR420" i="1"/>
  <c r="DV419" i="1"/>
  <c r="AR419" i="1"/>
  <c r="DS418" i="1" a="1"/>
  <c r="DS418" i="1" s="1"/>
  <c r="DR418" i="1"/>
  <c r="DR417" i="1"/>
  <c r="DX417" i="1" s="1"/>
  <c r="DY417" i="1" s="1"/>
  <c r="DZ417" i="1" s="1"/>
  <c r="EA417" i="1" s="1"/>
  <c r="DV416" i="1"/>
  <c r="DR415" i="1"/>
  <c r="DX415" i="1" s="1"/>
  <c r="DY415" i="1" s="1"/>
  <c r="DZ415" i="1" s="1"/>
  <c r="EA415" i="1" s="1"/>
  <c r="DR414" i="1"/>
  <c r="DX414" i="1" s="1"/>
  <c r="DY414" i="1" s="1"/>
  <c r="DZ414" i="1" s="1"/>
  <c r="EA414" i="1" s="1"/>
  <c r="DV413" i="1"/>
  <c r="DR412" i="1"/>
  <c r="DX412" i="1" s="1"/>
  <c r="DY412" i="1" s="1"/>
  <c r="DZ412" i="1" s="1"/>
  <c r="EA412" i="1" s="1"/>
  <c r="DR411" i="1"/>
  <c r="DX411" i="1" s="1"/>
  <c r="DY411" i="1" s="1"/>
  <c r="DZ411" i="1" s="1"/>
  <c r="EA411" i="1" s="1"/>
  <c r="DV410" i="1"/>
  <c r="DV409" i="1"/>
  <c r="AR409" i="1"/>
  <c r="DV408" i="1"/>
  <c r="AR408" i="1"/>
  <c r="DV407" i="1"/>
  <c r="AR407" i="1"/>
  <c r="DV406" i="1"/>
  <c r="AR406" i="1"/>
  <c r="DV405" i="1"/>
  <c r="AR405" i="1"/>
  <c r="DS404" i="1" a="1"/>
  <c r="DS404" i="1" s="1"/>
  <c r="DR404" i="1"/>
  <c r="DS403" i="1" a="1"/>
  <c r="DS403" i="1" s="1"/>
  <c r="DR403" i="1"/>
  <c r="DV402" i="1"/>
  <c r="AR402" i="1"/>
  <c r="DV401" i="1"/>
  <c r="DS400" i="1" a="1"/>
  <c r="DS400" i="1" s="1"/>
  <c r="DR400" i="1"/>
  <c r="DS399" i="1" a="1"/>
  <c r="DS399" i="1" s="1"/>
  <c r="DR399" i="1"/>
  <c r="DV398" i="1"/>
  <c r="AR398" i="1"/>
  <c r="DV397" i="1"/>
  <c r="DS396" i="1" a="1"/>
  <c r="DS396" i="1" s="1"/>
  <c r="DR396" i="1"/>
  <c r="DS395" i="1" a="1"/>
  <c r="DS395" i="1" s="1"/>
  <c r="DR395" i="1"/>
  <c r="DS394" i="1" a="1"/>
  <c r="DS394" i="1" s="1"/>
  <c r="DR394" i="1"/>
  <c r="DV393" i="1"/>
  <c r="AR393" i="1"/>
  <c r="DV392" i="1"/>
  <c r="DS391" i="1" a="1"/>
  <c r="DS391" i="1" s="1"/>
  <c r="DR391" i="1"/>
  <c r="DQ391" i="1"/>
  <c r="DS390" i="1" a="1"/>
  <c r="DS390" i="1" s="1"/>
  <c r="DR390" i="1"/>
  <c r="DQ390" i="1"/>
  <c r="DV389" i="1"/>
  <c r="AR389" i="1"/>
  <c r="DV388" i="1"/>
  <c r="DV387" i="1"/>
  <c r="DR387" i="1"/>
  <c r="DQ387" i="1"/>
  <c r="DV386" i="1"/>
  <c r="DR386" i="1"/>
  <c r="DQ386" i="1"/>
  <c r="DV385" i="1"/>
  <c r="DR385" i="1"/>
  <c r="DQ385" i="1"/>
  <c r="DS384" i="1" a="1"/>
  <c r="DS384" i="1" s="1"/>
  <c r="DR384" i="1"/>
  <c r="DV383" i="1"/>
  <c r="AR383" i="1"/>
  <c r="DV382" i="1"/>
  <c r="DS381" i="1" a="1"/>
  <c r="DS381" i="1" s="1"/>
  <c r="DR381" i="1"/>
  <c r="DX381" i="1" s="1"/>
  <c r="DY381" i="1" s="1"/>
  <c r="DZ381" i="1" s="1"/>
  <c r="EA381" i="1" s="1"/>
  <c r="DV380" i="1"/>
  <c r="AR380" i="1"/>
  <c r="DV379" i="1"/>
  <c r="DV378" i="1"/>
  <c r="DS377" i="1" a="1"/>
  <c r="DS377" i="1" s="1"/>
  <c r="DR377" i="1"/>
  <c r="DV376" i="1"/>
  <c r="AR376" i="1"/>
  <c r="DV375" i="1"/>
  <c r="DS374" i="1" a="1"/>
  <c r="DS374" i="1" s="1"/>
  <c r="DR374" i="1"/>
  <c r="DV373" i="1"/>
  <c r="AR373" i="1"/>
  <c r="DV372" i="1"/>
  <c r="DV371" i="1"/>
  <c r="AR371" i="1"/>
  <c r="DV370" i="1"/>
  <c r="DV369" i="1"/>
  <c r="AR369" i="1"/>
  <c r="DV368" i="1"/>
  <c r="DV367" i="1"/>
  <c r="AR367" i="1"/>
  <c r="DV366" i="1"/>
  <c r="DV365" i="1"/>
  <c r="AR365" i="1"/>
  <c r="DV364" i="1"/>
  <c r="DV363" i="1"/>
  <c r="AR363" i="1"/>
  <c r="DV362" i="1"/>
  <c r="DV361" i="1"/>
  <c r="AR361" i="1"/>
  <c r="DS360" i="1" a="1"/>
  <c r="DS360" i="1" s="1"/>
  <c r="DR360" i="1"/>
  <c r="DQ360" i="1"/>
  <c r="AR360" i="1"/>
  <c r="AB360" i="1"/>
  <c r="DS359" i="1" a="1"/>
  <c r="DS359" i="1" s="1"/>
  <c r="DR359" i="1"/>
  <c r="DQ359" i="1"/>
  <c r="AR359" i="1"/>
  <c r="AB359" i="1"/>
  <c r="DS358" i="1" a="1"/>
  <c r="DS358" i="1" s="1"/>
  <c r="DR358" i="1"/>
  <c r="DQ358" i="1"/>
  <c r="AR358" i="1"/>
  <c r="AB358" i="1"/>
  <c r="DV357" i="1"/>
  <c r="DV356" i="1"/>
  <c r="DV355" i="1"/>
  <c r="AR355" i="1"/>
  <c r="DV354" i="1"/>
  <c r="AR354" i="1"/>
  <c r="DV353" i="1"/>
  <c r="AR353" i="1"/>
  <c r="DS352" i="1" a="1"/>
  <c r="DS352" i="1" s="1"/>
  <c r="DR352" i="1"/>
  <c r="DQ352" i="1"/>
  <c r="AR352" i="1"/>
  <c r="AB352" i="1"/>
  <c r="DS351" i="1" a="1"/>
  <c r="DS351" i="1" s="1"/>
  <c r="DR351" i="1"/>
  <c r="DQ351" i="1"/>
  <c r="AR351" i="1"/>
  <c r="AB351" i="1"/>
  <c r="DS350" i="1" a="1"/>
  <c r="DS350" i="1" s="1"/>
  <c r="DR350" i="1"/>
  <c r="DQ350" i="1"/>
  <c r="AR350" i="1"/>
  <c r="AB350" i="1"/>
  <c r="DV349" i="1"/>
  <c r="DV348" i="1"/>
  <c r="DV347" i="1"/>
  <c r="AR347" i="1"/>
  <c r="DV346" i="1"/>
  <c r="AR346" i="1"/>
  <c r="DV345" i="1"/>
  <c r="AR345" i="1"/>
  <c r="DS344" i="1" a="1"/>
  <c r="DS344" i="1" s="1"/>
  <c r="DR344" i="1"/>
  <c r="DQ344" i="1"/>
  <c r="AR344" i="1"/>
  <c r="AB344" i="1"/>
  <c r="DS343" i="1" a="1"/>
  <c r="DS343" i="1" s="1"/>
  <c r="DR343" i="1"/>
  <c r="DQ343" i="1"/>
  <c r="AR343" i="1"/>
  <c r="AB343" i="1"/>
  <c r="DS342" i="1" a="1"/>
  <c r="DS342" i="1" s="1"/>
  <c r="DR342" i="1"/>
  <c r="DQ342" i="1"/>
  <c r="AR342" i="1"/>
  <c r="AB342" i="1"/>
  <c r="DV341" i="1"/>
  <c r="DV340" i="1"/>
  <c r="DV339" i="1"/>
  <c r="AR339" i="1"/>
  <c r="DV338" i="1"/>
  <c r="AR338" i="1"/>
  <c r="DV337" i="1"/>
  <c r="AR337" i="1"/>
  <c r="DS336" i="1" a="1"/>
  <c r="DS336" i="1" s="1"/>
  <c r="DR336" i="1"/>
  <c r="DQ336" i="1"/>
  <c r="AR336" i="1"/>
  <c r="AB336" i="1"/>
  <c r="DS335" i="1" a="1"/>
  <c r="DS335" i="1" s="1"/>
  <c r="DR335" i="1"/>
  <c r="DQ335" i="1"/>
  <c r="AR335" i="1"/>
  <c r="AB335" i="1"/>
  <c r="DS334" i="1" a="1"/>
  <c r="DS334" i="1" s="1"/>
  <c r="DR334" i="1"/>
  <c r="DQ334" i="1"/>
  <c r="AR334" i="1"/>
  <c r="AB334" i="1"/>
  <c r="DV333" i="1"/>
  <c r="DV332" i="1"/>
  <c r="DV331" i="1"/>
  <c r="AR331" i="1"/>
  <c r="DV330" i="1"/>
  <c r="AR330" i="1"/>
  <c r="DV329" i="1"/>
  <c r="AR329" i="1"/>
  <c r="DS328" i="1" a="1"/>
  <c r="DS328" i="1" s="1"/>
  <c r="DR328" i="1"/>
  <c r="DQ328" i="1"/>
  <c r="AR328" i="1"/>
  <c r="AB328" i="1"/>
  <c r="DS327" i="1" a="1"/>
  <c r="DS327" i="1" s="1"/>
  <c r="DR327" i="1"/>
  <c r="DQ327" i="1"/>
  <c r="AR327" i="1"/>
  <c r="AB327" i="1"/>
  <c r="DS326" i="1" a="1"/>
  <c r="DS326" i="1" s="1"/>
  <c r="DR326" i="1"/>
  <c r="DQ326" i="1"/>
  <c r="AR326" i="1"/>
  <c r="AB326" i="1"/>
  <c r="DV325" i="1"/>
  <c r="DV324" i="1"/>
  <c r="DV323" i="1"/>
  <c r="AR323" i="1"/>
  <c r="DV322" i="1"/>
  <c r="AR322" i="1"/>
  <c r="DV321" i="1"/>
  <c r="AR321" i="1"/>
  <c r="DS320" i="1" a="1"/>
  <c r="DS320" i="1" s="1"/>
  <c r="DR320" i="1"/>
  <c r="DQ320" i="1"/>
  <c r="AR320" i="1"/>
  <c r="AB320" i="1"/>
  <c r="DS319" i="1" a="1"/>
  <c r="DS319" i="1" s="1"/>
  <c r="DR319" i="1"/>
  <c r="DQ319" i="1"/>
  <c r="AR319" i="1"/>
  <c r="AB319" i="1"/>
  <c r="DS318" i="1" a="1"/>
  <c r="DS318" i="1" s="1"/>
  <c r="DR318" i="1"/>
  <c r="DQ318" i="1"/>
  <c r="AR318" i="1"/>
  <c r="AB318" i="1"/>
  <c r="DV317" i="1"/>
  <c r="DV316" i="1"/>
  <c r="DV315" i="1"/>
  <c r="AR315" i="1"/>
  <c r="DV314" i="1"/>
  <c r="AR314" i="1"/>
  <c r="DV313" i="1"/>
  <c r="AR313" i="1"/>
  <c r="DS312" i="1" a="1"/>
  <c r="DS312" i="1" s="1"/>
  <c r="DR312" i="1"/>
  <c r="DQ312" i="1"/>
  <c r="AR312" i="1"/>
  <c r="AB312" i="1"/>
  <c r="DS311" i="1" a="1"/>
  <c r="DS311" i="1" s="1"/>
  <c r="DR311" i="1"/>
  <c r="DQ311" i="1"/>
  <c r="AR311" i="1"/>
  <c r="AB311" i="1"/>
  <c r="DS310" i="1" a="1"/>
  <c r="DS310" i="1" s="1"/>
  <c r="DR310" i="1"/>
  <c r="DQ310" i="1"/>
  <c r="AR310" i="1"/>
  <c r="AB310" i="1"/>
  <c r="DV309" i="1"/>
  <c r="DV308" i="1"/>
  <c r="DV307" i="1"/>
  <c r="AR307" i="1"/>
  <c r="DV306" i="1"/>
  <c r="AR306" i="1"/>
  <c r="DV305" i="1"/>
  <c r="AR305" i="1"/>
  <c r="DS304" i="1" a="1"/>
  <c r="DS304" i="1" s="1"/>
  <c r="DR304" i="1"/>
  <c r="DQ304" i="1"/>
  <c r="AR304" i="1"/>
  <c r="AB304" i="1"/>
  <c r="DS303" i="1" a="1"/>
  <c r="DS303" i="1" s="1"/>
  <c r="DR303" i="1"/>
  <c r="DQ303" i="1"/>
  <c r="AR303" i="1"/>
  <c r="AB303" i="1"/>
  <c r="DS302" i="1" a="1"/>
  <c r="DS302" i="1" s="1"/>
  <c r="DR302" i="1"/>
  <c r="DQ302" i="1"/>
  <c r="AR302" i="1"/>
  <c r="AB302" i="1"/>
  <c r="DV301" i="1"/>
  <c r="DV300" i="1"/>
  <c r="DV299" i="1"/>
  <c r="AR299" i="1"/>
  <c r="DV298" i="1"/>
  <c r="AR298" i="1"/>
  <c r="DV297" i="1"/>
  <c r="AR297" i="1"/>
  <c r="DS296" i="1" a="1"/>
  <c r="DS296" i="1" s="1"/>
  <c r="DR296" i="1"/>
  <c r="DQ296" i="1"/>
  <c r="AR296" i="1"/>
  <c r="AB296" i="1"/>
  <c r="DS295" i="1" a="1"/>
  <c r="DS295" i="1" s="1"/>
  <c r="DR295" i="1"/>
  <c r="DQ295" i="1"/>
  <c r="AR295" i="1"/>
  <c r="AB295" i="1"/>
  <c r="DS294" i="1" a="1"/>
  <c r="DS294" i="1" s="1"/>
  <c r="DR294" i="1"/>
  <c r="DQ294" i="1"/>
  <c r="AR294" i="1"/>
  <c r="AB294" i="1"/>
  <c r="DV293" i="1"/>
  <c r="DV292" i="1"/>
  <c r="DV291" i="1"/>
  <c r="AR291" i="1"/>
  <c r="DV290" i="1"/>
  <c r="AR290" i="1"/>
  <c r="DV289" i="1"/>
  <c r="AR289" i="1"/>
  <c r="DS288" i="1" a="1"/>
  <c r="DS288" i="1" s="1"/>
  <c r="DR288" i="1"/>
  <c r="DQ288" i="1"/>
  <c r="AR288" i="1"/>
  <c r="AB288" i="1"/>
  <c r="DS287" i="1" a="1"/>
  <c r="DS287" i="1" s="1"/>
  <c r="DR287" i="1"/>
  <c r="DQ287" i="1"/>
  <c r="AR287" i="1"/>
  <c r="AB287" i="1"/>
  <c r="DS286" i="1" a="1"/>
  <c r="DS286" i="1" s="1"/>
  <c r="DR286" i="1"/>
  <c r="DQ286" i="1"/>
  <c r="AR286" i="1"/>
  <c r="AB286" i="1"/>
  <c r="DV285" i="1"/>
  <c r="DV284" i="1"/>
  <c r="DV283" i="1"/>
  <c r="AR283" i="1"/>
  <c r="DV282" i="1"/>
  <c r="AR282" i="1"/>
  <c r="DV281" i="1"/>
  <c r="AR281" i="1"/>
  <c r="DS280" i="1" a="1"/>
  <c r="DS280" i="1" s="1"/>
  <c r="DR280" i="1"/>
  <c r="DQ280" i="1"/>
  <c r="AR280" i="1"/>
  <c r="AB280" i="1"/>
  <c r="DS279" i="1" a="1"/>
  <c r="DS279" i="1" s="1"/>
  <c r="DR279" i="1"/>
  <c r="DQ279" i="1"/>
  <c r="AR279" i="1"/>
  <c r="AB279" i="1"/>
  <c r="DS278" i="1" a="1"/>
  <c r="DS278" i="1" s="1"/>
  <c r="DR278" i="1"/>
  <c r="DQ278" i="1"/>
  <c r="AR278" i="1"/>
  <c r="AB278" i="1"/>
  <c r="DV277" i="1"/>
  <c r="DV276" i="1"/>
  <c r="DV275" i="1"/>
  <c r="AR275" i="1"/>
  <c r="DV274" i="1"/>
  <c r="AR274" i="1"/>
  <c r="DV273" i="1"/>
  <c r="AR273" i="1"/>
  <c r="DS272" i="1" a="1"/>
  <c r="DS272" i="1" s="1"/>
  <c r="DR272" i="1"/>
  <c r="DQ272" i="1"/>
  <c r="AR272" i="1"/>
  <c r="AB272" i="1"/>
  <c r="DS271" i="1" a="1"/>
  <c r="DS271" i="1" s="1"/>
  <c r="DR271" i="1"/>
  <c r="DQ271" i="1"/>
  <c r="AR271" i="1"/>
  <c r="AB271" i="1"/>
  <c r="DS270" i="1" a="1"/>
  <c r="DS270" i="1" s="1"/>
  <c r="DR270" i="1"/>
  <c r="DQ270" i="1"/>
  <c r="AR270" i="1"/>
  <c r="AB270" i="1"/>
  <c r="DV269" i="1"/>
  <c r="DV268" i="1"/>
  <c r="DV267" i="1"/>
  <c r="AR267" i="1"/>
  <c r="DV266" i="1"/>
  <c r="AR266" i="1"/>
  <c r="DS265" i="1" a="1"/>
  <c r="DS265" i="1" s="1"/>
  <c r="DR265" i="1"/>
  <c r="DQ265" i="1"/>
  <c r="AR265" i="1"/>
  <c r="AB265" i="1"/>
  <c r="DS264" i="1" a="1"/>
  <c r="DS264" i="1" s="1"/>
  <c r="DR264" i="1"/>
  <c r="DQ264" i="1"/>
  <c r="AR264" i="1"/>
  <c r="AB264" i="1"/>
  <c r="DV263" i="1"/>
  <c r="DV262" i="1"/>
  <c r="DV261" i="1"/>
  <c r="AR261" i="1"/>
  <c r="DV260" i="1"/>
  <c r="AR260" i="1"/>
  <c r="DS259" i="1" a="1"/>
  <c r="DS259" i="1" s="1"/>
  <c r="DR259" i="1"/>
  <c r="DQ259" i="1"/>
  <c r="AR259" i="1"/>
  <c r="AB259" i="1"/>
  <c r="DS258" i="1" a="1"/>
  <c r="DS258" i="1" s="1"/>
  <c r="DR258" i="1"/>
  <c r="DQ258" i="1"/>
  <c r="AR258" i="1"/>
  <c r="AB258" i="1"/>
  <c r="DV257" i="1"/>
  <c r="DV256" i="1"/>
  <c r="DV255" i="1"/>
  <c r="AR255" i="1"/>
  <c r="DV254" i="1"/>
  <c r="AR254" i="1"/>
  <c r="DS253" i="1" a="1"/>
  <c r="DS253" i="1" s="1"/>
  <c r="DR253" i="1"/>
  <c r="DQ253" i="1"/>
  <c r="AR253" i="1"/>
  <c r="AB253" i="1"/>
  <c r="DS252" i="1" a="1"/>
  <c r="DS252" i="1" s="1"/>
  <c r="DR252" i="1"/>
  <c r="DQ252" i="1"/>
  <c r="AR252" i="1"/>
  <c r="AB252" i="1"/>
  <c r="DV251" i="1"/>
  <c r="DV250" i="1"/>
  <c r="DV249" i="1"/>
  <c r="AR249" i="1"/>
  <c r="DV248" i="1"/>
  <c r="AR248" i="1"/>
  <c r="DV247" i="1"/>
  <c r="DV246" i="1"/>
  <c r="AM246" i="1"/>
  <c r="DV245" i="1"/>
  <c r="AM245" i="1"/>
  <c r="DV244" i="1"/>
  <c r="AR244" i="1"/>
  <c r="DV243" i="1"/>
  <c r="DV242" i="1"/>
  <c r="AM242" i="1"/>
  <c r="DV241" i="1"/>
  <c r="AM241" i="1"/>
  <c r="DV240" i="1"/>
  <c r="AR240" i="1"/>
  <c r="DV239" i="1"/>
  <c r="DV238" i="1"/>
  <c r="AM238" i="1"/>
  <c r="DV237" i="1"/>
  <c r="AM237" i="1"/>
  <c r="DV236" i="1"/>
  <c r="AR236" i="1"/>
  <c r="DV235" i="1"/>
  <c r="DV234" i="1"/>
  <c r="AM234" i="1"/>
  <c r="DV233" i="1"/>
  <c r="AM233" i="1"/>
  <c r="DV232" i="1"/>
  <c r="AR232" i="1"/>
  <c r="DV231" i="1"/>
  <c r="DV230" i="1"/>
  <c r="DV229" i="1"/>
  <c r="DV228" i="1"/>
  <c r="DV227" i="1"/>
  <c r="DV226" i="1"/>
  <c r="AR226" i="1"/>
  <c r="DV225" i="1"/>
  <c r="DV224" i="1"/>
  <c r="DV223" i="1"/>
  <c r="DV222" i="1"/>
  <c r="AR222" i="1"/>
  <c r="DV221" i="1"/>
  <c r="AR221" i="1"/>
  <c r="DV220" i="1"/>
  <c r="DV219" i="1"/>
  <c r="AR219" i="1"/>
  <c r="DV218" i="1"/>
  <c r="AR218" i="1"/>
  <c r="DV217" i="1"/>
  <c r="AR217" i="1"/>
  <c r="DV216" i="1"/>
  <c r="DR216" i="1"/>
  <c r="DQ216" i="1"/>
  <c r="AR216" i="1"/>
  <c r="DV215" i="1"/>
  <c r="DR215" i="1"/>
  <c r="DQ215" i="1"/>
  <c r="AR215" i="1"/>
  <c r="DV214" i="1"/>
  <c r="DV213" i="1"/>
  <c r="DV212" i="1"/>
  <c r="DV211" i="1"/>
  <c r="DV210" i="1"/>
  <c r="DV209" i="1"/>
  <c r="DV208" i="1"/>
  <c r="AR208" i="1"/>
  <c r="DV207" i="1"/>
  <c r="DV206" i="1"/>
  <c r="DV205" i="1"/>
  <c r="DV204" i="1"/>
  <c r="AR204" i="1"/>
  <c r="DV203" i="1"/>
  <c r="AR203" i="1"/>
  <c r="DV202" i="1"/>
  <c r="DV201" i="1"/>
  <c r="AR201" i="1"/>
  <c r="DV200" i="1"/>
  <c r="AR200" i="1"/>
  <c r="DV199" i="1"/>
  <c r="AR199" i="1"/>
  <c r="DV198" i="1"/>
  <c r="DR198" i="1"/>
  <c r="DQ198" i="1"/>
  <c r="AR198" i="1"/>
  <c r="DV197" i="1"/>
  <c r="DR197" i="1"/>
  <c r="DQ197" i="1"/>
  <c r="AR197" i="1"/>
  <c r="DV196" i="1"/>
  <c r="DV195" i="1"/>
  <c r="DV194" i="1"/>
  <c r="DV193" i="1"/>
  <c r="DV192" i="1"/>
  <c r="DV191" i="1"/>
  <c r="AR191" i="1"/>
  <c r="DV190" i="1"/>
  <c r="DV189" i="1"/>
  <c r="DV188" i="1"/>
  <c r="AR188" i="1"/>
  <c r="DV187" i="1"/>
  <c r="AR187" i="1"/>
  <c r="DV186" i="1"/>
  <c r="DV185" i="1"/>
  <c r="AR185" i="1"/>
  <c r="DV184" i="1"/>
  <c r="AR184" i="1"/>
  <c r="DV183" i="1"/>
  <c r="AR183" i="1"/>
  <c r="DV182" i="1"/>
  <c r="DR182" i="1"/>
  <c r="DQ182" i="1"/>
  <c r="AR182" i="1"/>
  <c r="DV181" i="1"/>
  <c r="DV180" i="1"/>
  <c r="DV179" i="1"/>
  <c r="DV178" i="1"/>
  <c r="AR178" i="1"/>
  <c r="DS177" i="1" a="1"/>
  <c r="DS177" i="1" s="1"/>
  <c r="DR177" i="1"/>
  <c r="DQ177" i="1"/>
  <c r="AR177" i="1"/>
  <c r="DS176" i="1" a="1"/>
  <c r="DS176" i="1" s="1"/>
  <c r="DR176" i="1"/>
  <c r="DQ176" i="1"/>
  <c r="AR176" i="1"/>
  <c r="DV175" i="1"/>
  <c r="DV174" i="1"/>
  <c r="DV173" i="1"/>
  <c r="AR173" i="1"/>
  <c r="DS172" i="1" a="1"/>
  <c r="DS172" i="1" s="1"/>
  <c r="DR172" i="1"/>
  <c r="DQ172" i="1"/>
  <c r="AR172" i="1"/>
  <c r="DS171" i="1" a="1"/>
  <c r="DS171" i="1" s="1"/>
  <c r="DR171" i="1"/>
  <c r="DQ171" i="1"/>
  <c r="AR171" i="1"/>
  <c r="DV170" i="1"/>
  <c r="DS169" i="1" a="1"/>
  <c r="DS169" i="1" s="1"/>
  <c r="DR169" i="1"/>
  <c r="DQ169" i="1"/>
  <c r="DS168" i="1" a="1"/>
  <c r="DS168" i="1" s="1"/>
  <c r="DR168" i="1"/>
  <c r="DQ168" i="1"/>
  <c r="DS167" i="1" a="1"/>
  <c r="DS167" i="1" s="1"/>
  <c r="DR167" i="1"/>
  <c r="DQ167" i="1"/>
  <c r="DS166" i="1" a="1"/>
  <c r="DS166" i="1" s="1"/>
  <c r="DR166" i="1"/>
  <c r="DQ166" i="1"/>
  <c r="DS165" i="1" a="1"/>
  <c r="DS165" i="1" s="1"/>
  <c r="DR165" i="1"/>
  <c r="DQ165" i="1"/>
  <c r="DS164" i="1" a="1"/>
  <c r="DS164" i="1" s="1"/>
  <c r="DR164" i="1"/>
  <c r="DQ164" i="1"/>
  <c r="DS163" i="1" a="1"/>
  <c r="DS163" i="1" s="1"/>
  <c r="DR163" i="1"/>
  <c r="DQ163" i="1"/>
  <c r="DS162" i="1" a="1"/>
  <c r="DS162" i="1" s="1"/>
  <c r="DR162" i="1"/>
  <c r="DQ162" i="1"/>
  <c r="DV161" i="1"/>
  <c r="AR161" i="1"/>
  <c r="DS160" i="1" a="1"/>
  <c r="DS160" i="1" s="1"/>
  <c r="DR160" i="1"/>
  <c r="DQ160" i="1"/>
  <c r="AR160" i="1"/>
  <c r="DS159" i="1" a="1"/>
  <c r="DS159" i="1" s="1"/>
  <c r="DR159" i="1"/>
  <c r="DQ159" i="1"/>
  <c r="AR159" i="1"/>
  <c r="DS158" i="1" a="1"/>
  <c r="DS158" i="1" s="1"/>
  <c r="DR158" i="1"/>
  <c r="DQ158" i="1"/>
  <c r="DS157" i="1" a="1"/>
  <c r="DS157" i="1" s="1"/>
  <c r="DR157" i="1"/>
  <c r="DQ157" i="1"/>
  <c r="DV156" i="1"/>
  <c r="AR156" i="1"/>
  <c r="DV155" i="1"/>
  <c r="DS154" i="1" a="1"/>
  <c r="DS154" i="1" s="1"/>
  <c r="DR154" i="1"/>
  <c r="DQ154" i="1"/>
  <c r="DX154" i="1" s="1"/>
  <c r="DY154" i="1" s="1"/>
  <c r="DZ154" i="1" s="1"/>
  <c r="EA154" i="1" s="1"/>
  <c r="DS153" i="1" a="1"/>
  <c r="DS153" i="1" s="1"/>
  <c r="DR153" i="1"/>
  <c r="DQ153" i="1"/>
  <c r="DS152" i="1" a="1"/>
  <c r="DS152" i="1" s="1"/>
  <c r="DR152" i="1"/>
  <c r="DQ152" i="1"/>
  <c r="DS151" i="1" a="1"/>
  <c r="DS151" i="1" s="1"/>
  <c r="DR151" i="1"/>
  <c r="DQ151" i="1"/>
  <c r="DS150" i="1" a="1"/>
  <c r="DS150" i="1" s="1"/>
  <c r="DR150" i="1"/>
  <c r="DQ150" i="1"/>
  <c r="DS149" i="1" a="1"/>
  <c r="DS149" i="1" s="1"/>
  <c r="DR149" i="1"/>
  <c r="DQ149" i="1"/>
  <c r="DV148" i="1"/>
  <c r="AR148" i="1"/>
  <c r="DV147" i="1"/>
  <c r="DS146" i="1" a="1"/>
  <c r="DS146" i="1" s="1"/>
  <c r="DR146" i="1"/>
  <c r="DS145" i="1" a="1"/>
  <c r="DS145" i="1" s="1"/>
  <c r="DR145" i="1"/>
  <c r="DQ145" i="1"/>
  <c r="DS144" i="1" a="1"/>
  <c r="DS144" i="1" s="1"/>
  <c r="DR144" i="1"/>
  <c r="DQ144" i="1"/>
  <c r="DV143" i="1"/>
  <c r="AR143" i="1"/>
  <c r="DV142" i="1"/>
  <c r="DS141" i="1" a="1"/>
  <c r="DS141" i="1" s="1"/>
  <c r="DR141" i="1"/>
  <c r="DQ141" i="1"/>
  <c r="DS140" i="1" a="1"/>
  <c r="DS140" i="1" s="1"/>
  <c r="DR140" i="1"/>
  <c r="DQ140" i="1"/>
  <c r="DV139" i="1"/>
  <c r="DV138" i="1"/>
  <c r="AR138" i="1"/>
  <c r="DV137" i="1"/>
  <c r="DR137" i="1"/>
  <c r="DQ137" i="1"/>
  <c r="DV136" i="1"/>
  <c r="DR136" i="1"/>
  <c r="DQ136" i="1"/>
  <c r="DV135" i="1"/>
  <c r="DV134" i="1"/>
  <c r="DS133" i="1" a="1"/>
  <c r="DS133" i="1" s="1"/>
  <c r="DR133" i="1"/>
  <c r="DQ133" i="1"/>
  <c r="DS132" i="1" a="1"/>
  <c r="DS132" i="1" s="1"/>
  <c r="DR132" i="1"/>
  <c r="DQ132" i="1"/>
  <c r="DV131" i="1"/>
  <c r="DV130" i="1"/>
  <c r="AR130" i="1"/>
  <c r="DV129" i="1"/>
  <c r="DR129" i="1"/>
  <c r="DQ129" i="1"/>
  <c r="DV128" i="1"/>
  <c r="DR128" i="1"/>
  <c r="DQ128" i="1"/>
  <c r="DV127" i="1"/>
  <c r="DV126" i="1"/>
  <c r="DS125" i="1" a="1"/>
  <c r="DS125" i="1" s="1"/>
  <c r="DR125" i="1"/>
  <c r="DQ125" i="1"/>
  <c r="DS124" i="1" a="1"/>
  <c r="DS124" i="1" s="1"/>
  <c r="DR124" i="1"/>
  <c r="DQ124" i="1"/>
  <c r="DV123" i="1"/>
  <c r="DV122" i="1"/>
  <c r="AR122" i="1"/>
  <c r="DV121" i="1"/>
  <c r="DR121" i="1"/>
  <c r="DQ121" i="1"/>
  <c r="DV120" i="1"/>
  <c r="DR120" i="1"/>
  <c r="DQ120" i="1"/>
  <c r="DV119" i="1"/>
  <c r="DV118" i="1"/>
  <c r="DV117" i="1"/>
  <c r="DV116" i="1"/>
  <c r="DV115" i="1"/>
  <c r="DV114" i="1"/>
  <c r="AR114" i="1"/>
  <c r="DV113" i="1"/>
  <c r="DV112" i="1"/>
  <c r="DV111" i="1"/>
  <c r="DV110" i="1"/>
  <c r="DV109" i="1"/>
  <c r="DV108" i="1"/>
  <c r="DV107" i="1"/>
  <c r="AR107" i="1"/>
  <c r="DV106" i="1"/>
  <c r="DV105" i="1"/>
  <c r="DV104" i="1"/>
  <c r="DV103" i="1"/>
  <c r="DV102" i="1"/>
  <c r="DV101" i="1"/>
  <c r="AR101" i="1"/>
  <c r="DR100" i="1"/>
  <c r="DQ100" i="1"/>
  <c r="DR99" i="1"/>
  <c r="DQ99" i="1"/>
  <c r="DR98" i="1"/>
  <c r="DQ98" i="1"/>
  <c r="DR97" i="1"/>
  <c r="DQ97" i="1"/>
  <c r="DR96" i="1"/>
  <c r="DQ96" i="1"/>
  <c r="DV95" i="1"/>
  <c r="DV94" i="1"/>
  <c r="AR94" i="1"/>
  <c r="DV93" i="1"/>
  <c r="AR93" i="1"/>
  <c r="DV92" i="1"/>
  <c r="AR92" i="1"/>
  <c r="DV91" i="1"/>
  <c r="AR91" i="1"/>
  <c r="DV90" i="1"/>
  <c r="AR90" i="1"/>
  <c r="DV89" i="1"/>
  <c r="DV88" i="1"/>
  <c r="DS87" i="1" a="1"/>
  <c r="DS87" i="1" s="1"/>
  <c r="DR87" i="1"/>
  <c r="DQ87" i="1"/>
  <c r="AR87" i="1"/>
  <c r="DS86" i="1" a="1"/>
  <c r="DS86" i="1" s="1"/>
  <c r="DR86" i="1"/>
  <c r="DQ86" i="1"/>
  <c r="AR86" i="1"/>
  <c r="DS85" i="1" a="1"/>
  <c r="DS85" i="1" s="1"/>
  <c r="DR85" i="1"/>
  <c r="DQ85" i="1"/>
  <c r="AR85" i="1"/>
  <c r="DS84" i="1" a="1"/>
  <c r="DS84" i="1" s="1"/>
  <c r="DR84" i="1"/>
  <c r="DQ84" i="1"/>
  <c r="AR84" i="1"/>
  <c r="DS83" i="1" a="1"/>
  <c r="DS83" i="1" s="1"/>
  <c r="DR83" i="1"/>
  <c r="DQ83" i="1"/>
  <c r="AR83" i="1"/>
  <c r="DS82" i="1" a="1"/>
  <c r="DS82" i="1" s="1"/>
  <c r="DR82" i="1"/>
  <c r="DQ82" i="1"/>
  <c r="AR82" i="1"/>
  <c r="DV81" i="1"/>
  <c r="DV80" i="1"/>
  <c r="DR80" i="1"/>
  <c r="DQ80" i="1"/>
  <c r="DV79" i="1"/>
  <c r="DR79" i="1"/>
  <c r="DQ79" i="1"/>
  <c r="DV78" i="1"/>
  <c r="DR78" i="1"/>
  <c r="DQ78" i="1"/>
  <c r="DV77" i="1"/>
  <c r="DS76" i="1" a="1"/>
  <c r="DS76" i="1" s="1"/>
  <c r="DR76" i="1"/>
  <c r="DQ76" i="1"/>
  <c r="DS75" i="1" a="1"/>
  <c r="DS75" i="1" s="1"/>
  <c r="DR75" i="1"/>
  <c r="DQ75" i="1"/>
  <c r="DV74" i="1"/>
  <c r="DV73" i="1"/>
  <c r="AR73" i="1"/>
  <c r="DV72" i="1"/>
  <c r="AR72" i="1"/>
  <c r="DR71" i="1"/>
  <c r="DQ71" i="1"/>
  <c r="DX71" i="1" s="1"/>
  <c r="DY71" i="1" s="1"/>
  <c r="DZ71" i="1" s="1"/>
  <c r="EA71" i="1" s="1"/>
  <c r="DR70" i="1"/>
  <c r="DQ70" i="1"/>
  <c r="DR69" i="1"/>
  <c r="DQ69" i="1"/>
  <c r="DV68" i="1"/>
  <c r="AR68" i="1"/>
  <c r="DV67" i="1"/>
  <c r="AR67" i="1"/>
  <c r="DV66" i="1"/>
  <c r="AR66" i="1"/>
  <c r="DV65" i="1"/>
  <c r="DV64" i="1"/>
  <c r="DR63" i="1"/>
  <c r="DQ63" i="1"/>
  <c r="AR63" i="1"/>
  <c r="DR62" i="1"/>
  <c r="DQ62" i="1"/>
  <c r="AR62" i="1"/>
  <c r="DV61" i="1"/>
  <c r="DR60" i="1"/>
  <c r="DQ60" i="1"/>
  <c r="DR59" i="1"/>
  <c r="DQ59" i="1"/>
  <c r="DS58" i="1" a="1"/>
  <c r="DS58" i="1" s="1"/>
  <c r="DR58" i="1"/>
  <c r="DQ58" i="1"/>
  <c r="DS57" i="1" a="1"/>
  <c r="DS57" i="1" s="1"/>
  <c r="DR57" i="1"/>
  <c r="DQ57" i="1"/>
  <c r="DV56" i="1"/>
  <c r="AR56" i="1"/>
  <c r="DR55" i="1"/>
  <c r="DQ55" i="1"/>
  <c r="DX55" i="1" s="1"/>
  <c r="DY55" i="1" s="1"/>
  <c r="DZ55" i="1" s="1"/>
  <c r="EA55" i="1" s="1"/>
  <c r="AR55" i="1"/>
  <c r="DS54" i="1" a="1"/>
  <c r="DS54" i="1" s="1"/>
  <c r="DR54" i="1"/>
  <c r="DQ54" i="1"/>
  <c r="DS53" i="1" a="1"/>
  <c r="DS53" i="1" s="1"/>
  <c r="DR53" i="1"/>
  <c r="DQ53" i="1"/>
  <c r="DS52" i="1" a="1"/>
  <c r="DS52" i="1" s="1"/>
  <c r="DR52" i="1"/>
  <c r="DQ52" i="1"/>
  <c r="DS51" i="1" a="1"/>
  <c r="DS51" i="1" s="1"/>
  <c r="DR51" i="1"/>
  <c r="DQ51" i="1"/>
  <c r="DS50" i="1" a="1"/>
  <c r="DS50" i="1" s="1"/>
  <c r="DR50" i="1"/>
  <c r="DQ50" i="1"/>
  <c r="DS49" i="1" a="1"/>
  <c r="DS49" i="1" s="1"/>
  <c r="DR49" i="1"/>
  <c r="DQ49" i="1"/>
  <c r="DV48" i="1"/>
  <c r="DV47" i="1"/>
  <c r="AR47" i="1"/>
  <c r="DV46" i="1"/>
  <c r="AR46" i="1"/>
  <c r="DV45" i="1"/>
  <c r="DR44" i="1"/>
  <c r="DQ44" i="1"/>
  <c r="DX44" i="1" s="1"/>
  <c r="DY44" i="1" s="1"/>
  <c r="DZ44" i="1" s="1"/>
  <c r="EA44" i="1" s="1"/>
  <c r="AR44" i="1"/>
  <c r="DR43" i="1"/>
  <c r="DQ43" i="1"/>
  <c r="AR43" i="1"/>
  <c r="DS42" i="1" a="1"/>
  <c r="DS42" i="1" s="1"/>
  <c r="DR42" i="1"/>
  <c r="DQ42" i="1"/>
  <c r="DS41" i="1" a="1"/>
  <c r="DS41" i="1" s="1"/>
  <c r="DR41" i="1"/>
  <c r="DQ41" i="1"/>
  <c r="DS40" i="1" a="1"/>
  <c r="DS40" i="1" s="1"/>
  <c r="DR40" i="1"/>
  <c r="DQ40" i="1"/>
  <c r="DS39" i="1" a="1"/>
  <c r="DS39" i="1" s="1"/>
  <c r="DR39" i="1"/>
  <c r="DQ39" i="1"/>
  <c r="DS38" i="1" a="1"/>
  <c r="DS38" i="1" s="1"/>
  <c r="DR38" i="1"/>
  <c r="DQ38" i="1"/>
  <c r="DV37" i="1"/>
  <c r="AR37" i="1"/>
  <c r="DR36" i="1"/>
  <c r="DQ36" i="1"/>
  <c r="AR36" i="1"/>
  <c r="DS35" i="1" a="1"/>
  <c r="DS35" i="1" s="1"/>
  <c r="DR35" i="1"/>
  <c r="DQ35" i="1"/>
  <c r="DS34" i="1" a="1"/>
  <c r="DS34" i="1" s="1"/>
  <c r="DR34" i="1"/>
  <c r="DQ34" i="1"/>
  <c r="DS33" i="1" a="1"/>
  <c r="DS33" i="1" s="1"/>
  <c r="DR33" i="1"/>
  <c r="DQ33" i="1"/>
  <c r="DS32" i="1" a="1"/>
  <c r="DS32" i="1" s="1"/>
  <c r="DR32" i="1"/>
  <c r="DQ32" i="1"/>
  <c r="DS31" i="1" a="1"/>
  <c r="DS31" i="1" s="1"/>
  <c r="DR31" i="1"/>
  <c r="DQ31" i="1"/>
  <c r="DS30" i="1" a="1"/>
  <c r="DS30" i="1" s="1"/>
  <c r="DR30" i="1"/>
  <c r="DQ30" i="1"/>
  <c r="DS29" i="1" a="1"/>
  <c r="DS29" i="1" s="1"/>
  <c r="DR29" i="1"/>
  <c r="DQ29" i="1"/>
  <c r="DV28" i="1"/>
  <c r="DV27" i="1"/>
  <c r="AR27" i="1"/>
  <c r="DV26" i="1"/>
  <c r="AR26" i="1"/>
  <c r="DS25" i="1" a="1"/>
  <c r="DS25" i="1" s="1"/>
  <c r="DR25" i="1"/>
  <c r="DQ25" i="1"/>
  <c r="AR25" i="1"/>
  <c r="DS24" i="1" a="1"/>
  <c r="DS24" i="1" s="1"/>
  <c r="DR24" i="1"/>
  <c r="DQ24" i="1"/>
  <c r="AR24" i="1"/>
  <c r="DS23" i="1" a="1"/>
  <c r="DS23" i="1" s="1"/>
  <c r="DR23" i="1"/>
  <c r="DQ23" i="1"/>
  <c r="AR23" i="1"/>
  <c r="DV22" i="1"/>
  <c r="DV21" i="1"/>
  <c r="DS20" i="1" a="1"/>
  <c r="DS20" i="1" s="1"/>
  <c r="DR20" i="1"/>
  <c r="DQ20" i="1"/>
  <c r="DV19" i="1"/>
  <c r="DV18" i="1"/>
  <c r="DS17" i="1" a="1"/>
  <c r="DS17" i="1" s="1"/>
  <c r="DR17" i="1"/>
  <c r="DQ17" i="1"/>
  <c r="DS16" i="1" a="1"/>
  <c r="DS16" i="1" s="1"/>
  <c r="DR16" i="1"/>
  <c r="DQ16" i="1"/>
  <c r="DS15" i="1" a="1"/>
  <c r="DS15" i="1" s="1"/>
  <c r="DR15" i="1"/>
  <c r="DQ15" i="1"/>
  <c r="DV14" i="1"/>
  <c r="DV13" i="1"/>
  <c r="AR13" i="1"/>
  <c r="DV12" i="1"/>
  <c r="AR12" i="1"/>
  <c r="DS11" i="1" a="1"/>
  <c r="DS11" i="1" s="1"/>
  <c r="DR11" i="1"/>
  <c r="DQ11" i="1"/>
  <c r="AR11" i="1"/>
  <c r="DS10" i="1" a="1"/>
  <c r="DS10" i="1" s="1"/>
  <c r="DR10" i="1"/>
  <c r="DQ10" i="1"/>
  <c r="AR10" i="1"/>
  <c r="DS9" i="1" a="1"/>
  <c r="DS9" i="1" s="1"/>
  <c r="DR9" i="1"/>
  <c r="DQ9" i="1"/>
  <c r="AR9" i="1"/>
  <c r="DS8" i="1" a="1"/>
  <c r="DS8" i="1" s="1"/>
  <c r="DR8" i="1"/>
  <c r="DQ8" i="1"/>
  <c r="AR8" i="1"/>
  <c r="DV7" i="1"/>
  <c r="DV6" i="1"/>
  <c r="DS5" i="1" a="1"/>
  <c r="DS5" i="1" s="1"/>
  <c r="DR5" i="1"/>
  <c r="DQ5" i="1"/>
  <c r="DX5" i="1" s="1"/>
  <c r="DY5" i="1" s="1"/>
  <c r="DZ5" i="1" s="1"/>
  <c r="EA5" i="1" s="1"/>
  <c r="DS4" i="1" a="1"/>
  <c r="DS4" i="1" s="1"/>
  <c r="DR4" i="1"/>
  <c r="AR3" i="1"/>
  <c r="DX63" i="1" l="1"/>
  <c r="DY63" i="1" s="1"/>
  <c r="DZ63" i="1" s="1"/>
  <c r="EA63" i="1" s="1"/>
  <c r="DX70" i="1"/>
  <c r="DY70" i="1" s="1"/>
  <c r="DZ70" i="1" s="1"/>
  <c r="EA70" i="1" s="1"/>
  <c r="DX428" i="1"/>
  <c r="DY428" i="1" s="1"/>
  <c r="DZ428" i="1" s="1"/>
  <c r="EA428" i="1" s="1"/>
  <c r="DX165" i="1"/>
  <c r="DY165" i="1" s="1"/>
  <c r="DZ165" i="1" s="1"/>
  <c r="EA165" i="1" s="1"/>
  <c r="DX437" i="1"/>
  <c r="DY437" i="1" s="1"/>
  <c r="DZ437" i="1" s="1"/>
  <c r="EA437" i="1" s="1"/>
  <c r="DX62" i="1"/>
  <c r="DY62" i="1" s="1"/>
  <c r="DZ62" i="1" s="1"/>
  <c r="EA62" i="1" s="1"/>
  <c r="DX99" i="1"/>
  <c r="DY99" i="1" s="1"/>
  <c r="DZ99" i="1" s="1"/>
  <c r="EA99" i="1" s="1"/>
  <c r="DX310" i="1"/>
  <c r="DY310" i="1" s="1"/>
  <c r="DZ310" i="1" s="1"/>
  <c r="EA310" i="1" s="1"/>
  <c r="DX351" i="1"/>
  <c r="DY351" i="1" s="1"/>
  <c r="DZ351" i="1" s="1"/>
  <c r="EA351" i="1" s="1"/>
  <c r="DX36" i="1"/>
  <c r="DY36" i="1" s="1"/>
  <c r="DZ36" i="1" s="1"/>
  <c r="EA36" i="1" s="1"/>
  <c r="DX59" i="1"/>
  <c r="DY59" i="1" s="1"/>
  <c r="DZ59" i="1" s="1"/>
  <c r="EA59" i="1" s="1"/>
  <c r="DX252" i="1"/>
  <c r="DY252" i="1" s="1"/>
  <c r="DZ252" i="1" s="1"/>
  <c r="EA252" i="1" s="1"/>
  <c r="DX270" i="1"/>
  <c r="DY270" i="1" s="1"/>
  <c r="DZ270" i="1" s="1"/>
  <c r="EA270" i="1" s="1"/>
  <c r="DX360" i="1"/>
  <c r="DY360" i="1" s="1"/>
  <c r="DZ360" i="1" s="1"/>
  <c r="EA360" i="1" s="1"/>
  <c r="DX399" i="1"/>
  <c r="DY399" i="1" s="1"/>
  <c r="DZ399" i="1" s="1"/>
  <c r="EA399" i="1" s="1"/>
  <c r="DX436" i="1"/>
  <c r="DY436" i="1" s="1"/>
  <c r="DZ436" i="1" s="1"/>
  <c r="EA436" i="1" s="1"/>
  <c r="DX344" i="1"/>
  <c r="DY344" i="1" s="1"/>
  <c r="DZ344" i="1" s="1"/>
  <c r="EA344" i="1" s="1"/>
  <c r="DX15" i="1"/>
  <c r="DY15" i="1" s="1"/>
  <c r="DZ15" i="1" s="1"/>
  <c r="EA15" i="1" s="1"/>
  <c r="DX98" i="1"/>
  <c r="DY98" i="1" s="1"/>
  <c r="DZ98" i="1" s="1"/>
  <c r="EA98" i="1" s="1"/>
  <c r="DX151" i="1"/>
  <c r="DY151" i="1" s="1"/>
  <c r="DZ151" i="1" s="1"/>
  <c r="EA151" i="1" s="1"/>
  <c r="DX328" i="1"/>
  <c r="DY328" i="1" s="1"/>
  <c r="DZ328" i="1" s="1"/>
  <c r="EA328" i="1" s="1"/>
  <c r="DX334" i="1"/>
  <c r="DY334" i="1" s="1"/>
  <c r="DZ334" i="1" s="1"/>
  <c r="EA334" i="1" s="1"/>
  <c r="DX288" i="1"/>
  <c r="DY288" i="1" s="1"/>
  <c r="DZ288" i="1" s="1"/>
  <c r="EA288" i="1" s="1"/>
  <c r="DX390" i="1"/>
  <c r="DY390" i="1" s="1"/>
  <c r="DZ390" i="1" s="1"/>
  <c r="EA390" i="1" s="1"/>
  <c r="DX23" i="1"/>
  <c r="DY23" i="1" s="1"/>
  <c r="DZ23" i="1" s="1"/>
  <c r="EA23" i="1" s="1"/>
  <c r="DX294" i="1"/>
  <c r="DY294" i="1" s="1"/>
  <c r="DZ294" i="1" s="1"/>
  <c r="EA294" i="1" s="1"/>
  <c r="DX418" i="1"/>
  <c r="DY418" i="1" s="1"/>
  <c r="DZ418" i="1" s="1"/>
  <c r="EA418" i="1" s="1"/>
  <c r="DX395" i="1"/>
  <c r="DY395" i="1" s="1"/>
  <c r="DZ395" i="1" s="1"/>
  <c r="EA395" i="1" s="1"/>
  <c r="DX278" i="1"/>
  <c r="DX432" i="1"/>
  <c r="DY432" i="1" s="1"/>
  <c r="DZ432" i="1" s="1"/>
  <c r="EA432" i="1" s="1"/>
  <c r="DX272" i="1"/>
  <c r="DY272" i="1" s="1"/>
  <c r="DZ272" i="1" s="1"/>
  <c r="EA272" i="1" s="1"/>
  <c r="DX160" i="1"/>
  <c r="DY160" i="1" s="1"/>
  <c r="DZ160" i="1" s="1"/>
  <c r="EA160" i="1" s="1"/>
  <c r="DX20" i="1"/>
  <c r="DY20" i="1" s="1"/>
  <c r="DZ20" i="1" s="1"/>
  <c r="EA20" i="1" s="1"/>
  <c r="DX30" i="1"/>
  <c r="DY30" i="1" s="1"/>
  <c r="DZ30" i="1" s="1"/>
  <c r="EA30" i="1" s="1"/>
  <c r="DX82" i="1"/>
  <c r="DY82" i="1" s="1"/>
  <c r="DZ82" i="1" s="1"/>
  <c r="EA82" i="1" s="1"/>
  <c r="DX85" i="1"/>
  <c r="DY85" i="1" s="1"/>
  <c r="DZ85" i="1" s="1"/>
  <c r="EA85" i="1" s="1"/>
  <c r="DX157" i="1"/>
  <c r="DY157" i="1" s="1"/>
  <c r="DZ157" i="1" s="1"/>
  <c r="EA157" i="1" s="1"/>
  <c r="DX168" i="1"/>
  <c r="DY168" i="1" s="1"/>
  <c r="DZ168" i="1" s="1"/>
  <c r="EA168" i="1" s="1"/>
  <c r="DX342" i="1"/>
  <c r="DY342" i="1" s="1"/>
  <c r="DZ342" i="1" s="1"/>
  <c r="EA342" i="1" s="1"/>
  <c r="DX145" i="1"/>
  <c r="DY145" i="1" s="1"/>
  <c r="DZ145" i="1" s="1"/>
  <c r="EA145" i="1" s="1"/>
  <c r="DX84" i="1"/>
  <c r="DY84" i="1" s="1"/>
  <c r="DZ84" i="1" s="1"/>
  <c r="EA84" i="1" s="1"/>
  <c r="DX125" i="1"/>
  <c r="DY125" i="1" s="1"/>
  <c r="DZ125" i="1" s="1"/>
  <c r="EA125" i="1" s="1"/>
  <c r="DX167" i="1"/>
  <c r="DY167" i="1" s="1"/>
  <c r="DZ167" i="1" s="1"/>
  <c r="EA167" i="1" s="1"/>
  <c r="DX60" i="1"/>
  <c r="DY60" i="1" s="1"/>
  <c r="DZ60" i="1" s="1"/>
  <c r="EA60" i="1" s="1"/>
  <c r="DX57" i="1"/>
  <c r="DY57" i="1" s="1"/>
  <c r="DZ57" i="1" s="1"/>
  <c r="EA57" i="1" s="1"/>
  <c r="DX97" i="1"/>
  <c r="DY97" i="1" s="1"/>
  <c r="DZ97" i="1" s="1"/>
  <c r="EA97" i="1" s="1"/>
  <c r="DX76" i="1"/>
  <c r="DY76" i="1" s="1"/>
  <c r="DZ76" i="1" s="1"/>
  <c r="EA76" i="1" s="1"/>
  <c r="DX29" i="1"/>
  <c r="DY29" i="1" s="1"/>
  <c r="DZ29" i="1" s="1"/>
  <c r="EA29" i="1" s="1"/>
  <c r="DX259" i="1"/>
  <c r="DY259" i="1" s="1"/>
  <c r="DZ259" i="1" s="1"/>
  <c r="EA259" i="1" s="1"/>
  <c r="DX350" i="1"/>
  <c r="DY350" i="1" s="1"/>
  <c r="DZ350" i="1" s="1"/>
  <c r="EA350" i="1" s="1"/>
  <c r="DX400" i="1"/>
  <c r="DY400" i="1" s="1"/>
  <c r="DZ400" i="1" s="1"/>
  <c r="EA400" i="1" s="1"/>
  <c r="DX162" i="1"/>
  <c r="DY162" i="1" s="1"/>
  <c r="DZ162" i="1" s="1"/>
  <c r="EA162" i="1" s="1"/>
  <c r="DX17" i="1"/>
  <c r="DY17" i="1" s="1"/>
  <c r="DZ17" i="1" s="1"/>
  <c r="EA17" i="1" s="1"/>
  <c r="DX302" i="1"/>
  <c r="DY302" i="1" s="1"/>
  <c r="DZ302" i="1" s="1"/>
  <c r="EA302" i="1" s="1"/>
  <c r="DX359" i="1"/>
  <c r="DY359" i="1" s="1"/>
  <c r="DZ359" i="1" s="1"/>
  <c r="EA359" i="1" s="1"/>
  <c r="DX9" i="1"/>
  <c r="DY9" i="1" s="1"/>
  <c r="DZ9" i="1" s="1"/>
  <c r="EA9" i="1" s="1"/>
  <c r="DX146" i="1"/>
  <c r="DY146" i="1" s="1"/>
  <c r="DZ146" i="1" s="1"/>
  <c r="EA146" i="1" s="1"/>
  <c r="DX258" i="1"/>
  <c r="DY258" i="1" s="1"/>
  <c r="DZ258" i="1" s="1"/>
  <c r="EA258" i="1" s="1"/>
  <c r="DX11" i="1"/>
  <c r="DY11" i="1" s="1"/>
  <c r="DZ11" i="1" s="1"/>
  <c r="EA11" i="1" s="1"/>
  <c r="DX264" i="1"/>
  <c r="DY264" i="1" s="1"/>
  <c r="DZ264" i="1" s="1"/>
  <c r="EA264" i="1" s="1"/>
  <c r="DX318" i="1"/>
  <c r="DY318" i="1" s="1"/>
  <c r="DZ318" i="1" s="1"/>
  <c r="EA318" i="1" s="1"/>
  <c r="DX320" i="1"/>
  <c r="DY320" i="1" s="1"/>
  <c r="DZ320" i="1" s="1"/>
  <c r="EA320" i="1" s="1"/>
  <c r="DX172" i="1"/>
  <c r="DY172" i="1" s="1"/>
  <c r="DZ172" i="1" s="1"/>
  <c r="EA172" i="1" s="1"/>
  <c r="DX177" i="1"/>
  <c r="DY177" i="1" s="1"/>
  <c r="DZ177" i="1" s="1"/>
  <c r="EA177" i="1" s="1"/>
  <c r="DX303" i="1"/>
  <c r="DY303" i="1" s="1"/>
  <c r="DZ303" i="1" s="1"/>
  <c r="EA303" i="1" s="1"/>
  <c r="DX312" i="1"/>
  <c r="DY312" i="1" s="1"/>
  <c r="DZ312" i="1" s="1"/>
  <c r="EA312" i="1" s="1"/>
  <c r="DX377" i="1"/>
  <c r="DY377" i="1" s="1"/>
  <c r="DZ377" i="1" s="1"/>
  <c r="EA377" i="1" s="1"/>
  <c r="DX39" i="1"/>
  <c r="DY39" i="1" s="1"/>
  <c r="DZ39" i="1" s="1"/>
  <c r="EA39" i="1" s="1"/>
  <c r="DX253" i="1"/>
  <c r="DY253" i="1" s="1"/>
  <c r="DZ253" i="1" s="1"/>
  <c r="EA253" i="1" s="1"/>
  <c r="DX25" i="1"/>
  <c r="DY25" i="1" s="1"/>
  <c r="DZ25" i="1" s="1"/>
  <c r="EA25" i="1" s="1"/>
  <c r="DX100" i="1"/>
  <c r="DY100" i="1" s="1"/>
  <c r="DZ100" i="1" s="1"/>
  <c r="EA100" i="1" s="1"/>
  <c r="DX4" i="1"/>
  <c r="DY4" i="1" s="1"/>
  <c r="DZ4" i="1" s="1"/>
  <c r="EA4" i="1" s="1"/>
  <c r="DX35" i="1"/>
  <c r="DY35" i="1" s="1"/>
  <c r="DZ35" i="1" s="1"/>
  <c r="EA35" i="1" s="1"/>
  <c r="DX43" i="1"/>
  <c r="DY43" i="1" s="1"/>
  <c r="DZ43" i="1" s="1"/>
  <c r="EA43" i="1" s="1"/>
  <c r="DX49" i="1"/>
  <c r="DY49" i="1" s="1"/>
  <c r="DZ49" i="1" s="1"/>
  <c r="EA49" i="1" s="1"/>
  <c r="DX75" i="1"/>
  <c r="DY75" i="1" s="1"/>
  <c r="DZ75" i="1" s="1"/>
  <c r="EA75" i="1" s="1"/>
  <c r="DX96" i="1"/>
  <c r="DY96" i="1" s="1"/>
  <c r="DZ96" i="1" s="1"/>
  <c r="EA96" i="1" s="1"/>
  <c r="DX153" i="1"/>
  <c r="DY153" i="1" s="1"/>
  <c r="DZ153" i="1" s="1"/>
  <c r="EA153" i="1" s="1"/>
  <c r="DX163" i="1"/>
  <c r="DY163" i="1" s="1"/>
  <c r="DZ163" i="1" s="1"/>
  <c r="EA163" i="1" s="1"/>
  <c r="DX176" i="1"/>
  <c r="DY176" i="1" s="1"/>
  <c r="DZ176" i="1" s="1"/>
  <c r="EA176" i="1" s="1"/>
  <c r="DX296" i="1"/>
  <c r="DY296" i="1" s="1"/>
  <c r="DZ296" i="1" s="1"/>
  <c r="EA296" i="1" s="1"/>
  <c r="DX384" i="1"/>
  <c r="DY384" i="1" s="1"/>
  <c r="DZ384" i="1" s="1"/>
  <c r="EA384" i="1" s="1"/>
  <c r="DX403" i="1"/>
  <c r="DY403" i="1" s="1"/>
  <c r="DZ403" i="1" s="1"/>
  <c r="EA403" i="1" s="1"/>
  <c r="DX441" i="1"/>
  <c r="DY441" i="1" s="1"/>
  <c r="DZ441" i="1" s="1"/>
  <c r="EA441" i="1" s="1"/>
  <c r="DX16" i="1"/>
  <c r="DY16" i="1" s="1"/>
  <c r="DZ16" i="1" s="1"/>
  <c r="EA16" i="1" s="1"/>
  <c r="DX40" i="1"/>
  <c r="DY40" i="1" s="1"/>
  <c r="DZ40" i="1" s="1"/>
  <c r="EA40" i="1" s="1"/>
  <c r="DX132" i="1"/>
  <c r="DY132" i="1" s="1"/>
  <c r="DZ132" i="1" s="1"/>
  <c r="EA132" i="1" s="1"/>
  <c r="DX335" i="1"/>
  <c r="DY335" i="1" s="1"/>
  <c r="DZ335" i="1" s="1"/>
  <c r="EA335" i="1" s="1"/>
  <c r="DX433" i="1"/>
  <c r="DY433" i="1" s="1"/>
  <c r="DZ433" i="1" s="1"/>
  <c r="EA433" i="1" s="1"/>
  <c r="DX53" i="1"/>
  <c r="DY53" i="1" s="1"/>
  <c r="DZ53" i="1" s="1"/>
  <c r="EA53" i="1" s="1"/>
  <c r="DX41" i="1"/>
  <c r="DY41" i="1" s="1"/>
  <c r="DZ41" i="1" s="1"/>
  <c r="EA41" i="1" s="1"/>
  <c r="DX287" i="1"/>
  <c r="DY287" i="1" s="1"/>
  <c r="DZ287" i="1" s="1"/>
  <c r="EA287" i="1" s="1"/>
  <c r="DX140" i="1"/>
  <c r="DY140" i="1" s="1"/>
  <c r="DZ140" i="1" s="1"/>
  <c r="EA140" i="1" s="1"/>
  <c r="DX280" i="1"/>
  <c r="DY280" i="1" s="1"/>
  <c r="DZ280" i="1" s="1"/>
  <c r="EA280" i="1" s="1"/>
  <c r="DX311" i="1"/>
  <c r="DY311" i="1" s="1"/>
  <c r="DZ311" i="1" s="1"/>
  <c r="EA311" i="1" s="1"/>
  <c r="DX32" i="1"/>
  <c r="DY32" i="1" s="1"/>
  <c r="DZ32" i="1" s="1"/>
  <c r="EA32" i="1" s="1"/>
  <c r="DX58" i="1"/>
  <c r="DY58" i="1" s="1"/>
  <c r="DZ58" i="1" s="1"/>
  <c r="EA58" i="1" s="1"/>
  <c r="DX86" i="1"/>
  <c r="DY86" i="1" s="1"/>
  <c r="DZ86" i="1" s="1"/>
  <c r="EA86" i="1" s="1"/>
  <c r="DX10" i="1"/>
  <c r="DY10" i="1" s="1"/>
  <c r="DZ10" i="1" s="1"/>
  <c r="EA10" i="1" s="1"/>
  <c r="DX24" i="1"/>
  <c r="DY24" i="1" s="1"/>
  <c r="DZ24" i="1" s="1"/>
  <c r="EA24" i="1" s="1"/>
  <c r="DX50" i="1"/>
  <c r="DY50" i="1" s="1"/>
  <c r="DZ50" i="1" s="1"/>
  <c r="EA50" i="1" s="1"/>
  <c r="DX54" i="1"/>
  <c r="DY54" i="1" s="1"/>
  <c r="DZ54" i="1" s="1"/>
  <c r="EA54" i="1" s="1"/>
  <c r="DX149" i="1"/>
  <c r="DY149" i="1" s="1"/>
  <c r="DZ149" i="1" s="1"/>
  <c r="EA149" i="1" s="1"/>
  <c r="DX164" i="1"/>
  <c r="DY164" i="1" s="1"/>
  <c r="DZ164" i="1" s="1"/>
  <c r="EA164" i="1" s="1"/>
  <c r="DX271" i="1"/>
  <c r="DY271" i="1" s="1"/>
  <c r="DZ271" i="1" s="1"/>
  <c r="EA271" i="1" s="1"/>
  <c r="DX304" i="1"/>
  <c r="DY304" i="1" s="1"/>
  <c r="DZ304" i="1" s="1"/>
  <c r="EA304" i="1" s="1"/>
  <c r="DX343" i="1"/>
  <c r="DY343" i="1" s="1"/>
  <c r="DZ343" i="1" s="1"/>
  <c r="EA343" i="1" s="1"/>
  <c r="DX358" i="1"/>
  <c r="DY358" i="1" s="1"/>
  <c r="DZ358" i="1" s="1"/>
  <c r="EA358" i="1" s="1"/>
  <c r="DX404" i="1"/>
  <c r="DY404" i="1" s="1"/>
  <c r="DZ404" i="1" s="1"/>
  <c r="EA404" i="1" s="1"/>
  <c r="DX429" i="1"/>
  <c r="DY429" i="1" s="1"/>
  <c r="DZ429" i="1" s="1"/>
  <c r="EA429" i="1" s="1"/>
  <c r="DX326" i="1"/>
  <c r="DY326" i="1" s="1"/>
  <c r="DZ326" i="1" s="1"/>
  <c r="EA326" i="1" s="1"/>
  <c r="DX150" i="1"/>
  <c r="DY150" i="1" s="1"/>
  <c r="DZ150" i="1" s="1"/>
  <c r="EA150" i="1" s="1"/>
  <c r="DX445" i="1"/>
  <c r="DY445" i="1" s="1"/>
  <c r="DZ445" i="1" s="1"/>
  <c r="EA445" i="1" s="1"/>
  <c r="DX38" i="1"/>
  <c r="DY38" i="1" s="1"/>
  <c r="DZ38" i="1" s="1"/>
  <c r="EA38" i="1" s="1"/>
  <c r="DX51" i="1"/>
  <c r="DY51" i="1" s="1"/>
  <c r="DZ51" i="1" s="1"/>
  <c r="EA51" i="1" s="1"/>
  <c r="DX152" i="1"/>
  <c r="DY152" i="1" s="1"/>
  <c r="DZ152" i="1" s="1"/>
  <c r="EA152" i="1" s="1"/>
  <c r="DX391" i="1"/>
  <c r="DY391" i="1" s="1"/>
  <c r="DZ391" i="1" s="1"/>
  <c r="EA391" i="1" s="1"/>
  <c r="DX265" i="1"/>
  <c r="DY265" i="1" s="1"/>
  <c r="DZ265" i="1" s="1"/>
  <c r="EA265" i="1" s="1"/>
  <c r="DX34" i="1"/>
  <c r="DY34" i="1" s="1"/>
  <c r="DZ34" i="1" s="1"/>
  <c r="EA34" i="1" s="1"/>
  <c r="DX42" i="1"/>
  <c r="DY42" i="1" s="1"/>
  <c r="DZ42" i="1" s="1"/>
  <c r="EA42" i="1" s="1"/>
  <c r="DX133" i="1"/>
  <c r="DY133" i="1" s="1"/>
  <c r="DZ133" i="1" s="1"/>
  <c r="EA133" i="1" s="1"/>
  <c r="DX295" i="1"/>
  <c r="DY295" i="1" s="1"/>
  <c r="DZ295" i="1" s="1"/>
  <c r="EA295" i="1" s="1"/>
  <c r="DX336" i="1"/>
  <c r="DY336" i="1" s="1"/>
  <c r="DZ336" i="1" s="1"/>
  <c r="EA336" i="1" s="1"/>
  <c r="DX396" i="1"/>
  <c r="DY396" i="1" s="1"/>
  <c r="DZ396" i="1" s="1"/>
  <c r="EA396" i="1" s="1"/>
  <c r="DX444" i="1"/>
  <c r="DY444" i="1" s="1"/>
  <c r="DZ444" i="1" s="1"/>
  <c r="EA444" i="1" s="1"/>
  <c r="DX319" i="1"/>
  <c r="DY319" i="1" s="1"/>
  <c r="DZ319" i="1" s="1"/>
  <c r="EA319" i="1" s="1"/>
  <c r="DX159" i="1"/>
  <c r="DY159" i="1" s="1"/>
  <c r="DZ159" i="1" s="1"/>
  <c r="EA159" i="1" s="1"/>
  <c r="DX8" i="1"/>
  <c r="DY8" i="1" s="1"/>
  <c r="DZ8" i="1" s="1"/>
  <c r="EA8" i="1" s="1"/>
  <c r="DX83" i="1"/>
  <c r="DY83" i="1" s="1"/>
  <c r="DZ83" i="1" s="1"/>
  <c r="EA83" i="1" s="1"/>
  <c r="DX141" i="1"/>
  <c r="DY141" i="1" s="1"/>
  <c r="DZ141" i="1" s="1"/>
  <c r="EA141" i="1" s="1"/>
  <c r="DX166" i="1"/>
  <c r="DY166" i="1" s="1"/>
  <c r="DZ166" i="1" s="1"/>
  <c r="EA166" i="1" s="1"/>
  <c r="DY278" i="1"/>
  <c r="DZ278" i="1" s="1"/>
  <c r="EA278" i="1" s="1"/>
  <c r="DX52" i="1"/>
  <c r="DY52" i="1" s="1"/>
  <c r="DZ52" i="1" s="1"/>
  <c r="EA52" i="1" s="1"/>
  <c r="DX87" i="1"/>
  <c r="DY87" i="1" s="1"/>
  <c r="DZ87" i="1" s="1"/>
  <c r="EA87" i="1" s="1"/>
  <c r="DX352" i="1"/>
  <c r="DY352" i="1" s="1"/>
  <c r="DZ352" i="1" s="1"/>
  <c r="EA352" i="1" s="1"/>
  <c r="DX394" i="1"/>
  <c r="DY394" i="1" s="1"/>
  <c r="DZ394" i="1" s="1"/>
  <c r="EA394" i="1" s="1"/>
  <c r="DX171" i="1"/>
  <c r="DY171" i="1" s="1"/>
  <c r="DZ171" i="1" s="1"/>
  <c r="EA171" i="1" s="1"/>
  <c r="DX31" i="1"/>
  <c r="DY31" i="1" s="1"/>
  <c r="DZ31" i="1" s="1"/>
  <c r="EA31" i="1" s="1"/>
  <c r="DX33" i="1"/>
  <c r="DY33" i="1" s="1"/>
  <c r="DZ33" i="1" s="1"/>
  <c r="EA33" i="1" s="1"/>
  <c r="DX69" i="1"/>
  <c r="DY69" i="1" s="1"/>
  <c r="DZ69" i="1" s="1"/>
  <c r="EA69" i="1" s="1"/>
  <c r="DX158" i="1"/>
  <c r="DY158" i="1" s="1"/>
  <c r="DZ158" i="1" s="1"/>
  <c r="EA158" i="1" s="1"/>
  <c r="DX286" i="1"/>
  <c r="DY286" i="1" s="1"/>
  <c r="DZ286" i="1" s="1"/>
  <c r="EA286" i="1" s="1"/>
  <c r="DX327" i="1"/>
  <c r="DY327" i="1" s="1"/>
  <c r="DZ327" i="1" s="1"/>
  <c r="EA327" i="1" s="1"/>
  <c r="DX124" i="1"/>
  <c r="DY124" i="1" s="1"/>
  <c r="DZ124" i="1" s="1"/>
  <c r="EA124" i="1" s="1"/>
  <c r="DX169" i="1"/>
  <c r="DY169" i="1" s="1"/>
  <c r="DZ169" i="1" s="1"/>
  <c r="EA169" i="1" s="1"/>
  <c r="DX144" i="1"/>
  <c r="DY144" i="1" s="1"/>
  <c r="DZ144" i="1" s="1"/>
  <c r="EA144" i="1" s="1"/>
  <c r="DX279" i="1"/>
  <c r="DY279" i="1" s="1"/>
  <c r="DZ279" i="1" s="1"/>
  <c r="EA279" i="1" s="1"/>
  <c r="DX440" i="1"/>
  <c r="DY440" i="1" s="1"/>
  <c r="DZ440" i="1" s="1"/>
  <c r="EA440" i="1" s="1"/>
  <c r="DX374" i="1"/>
  <c r="DY374" i="1" s="1"/>
  <c r="DZ374" i="1" s="1"/>
  <c r="EA3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<sst xmlns="http://schemas.openxmlformats.org/spreadsheetml/2006/main" count="11223" uniqueCount="1087">
  <si>
    <t>RecordID</t>
  </si>
  <si>
    <t>Location</t>
  </si>
  <si>
    <t>LocationID</t>
  </si>
  <si>
    <t>Machine</t>
  </si>
  <si>
    <t>MachineID</t>
  </si>
  <si>
    <t>Component</t>
  </si>
  <si>
    <t>ComponentTemplate</t>
  </si>
  <si>
    <t>MaintPoint</t>
  </si>
  <si>
    <t>MaintPointTemplate</t>
  </si>
  <si>
    <t>MaintPointID</t>
  </si>
  <si>
    <t>MarkedForDeletion</t>
  </si>
  <si>
    <t>Notes</t>
  </si>
  <si>
    <t>CollectedBy</t>
  </si>
  <si>
    <t>TemplateCandidate</t>
  </si>
  <si>
    <t>CollectionStatus</t>
  </si>
  <si>
    <t>(D) Bearing/Housing Number (DE - if more than 1)</t>
  </si>
  <si>
    <t>(D) Bearing/Housing Number (NDE)</t>
  </si>
  <si>
    <t>(D) Bearing OD</t>
  </si>
  <si>
    <t>(DU) Bearing OD</t>
  </si>
  <si>
    <t>(D) Bearing Type</t>
  </si>
  <si>
    <t>(D) Bearing Width</t>
  </si>
  <si>
    <t>(DU) Bearing Width</t>
  </si>
  <si>
    <t>(D) Contamination</t>
  </si>
  <si>
    <t>(D) Frame</t>
  </si>
  <si>
    <t>(D) HP</t>
  </si>
  <si>
    <t>(D) RPM</t>
  </si>
  <si>
    <t>(D) Position</t>
  </si>
  <si>
    <t>(D) Shaft Diameter</t>
  </si>
  <si>
    <t>(DU) Shaft Diameter</t>
  </si>
  <si>
    <t>(D) Sizing Source</t>
  </si>
  <si>
    <t>(D) Operating Temperature</t>
  </si>
  <si>
    <t>(D) Vibration</t>
  </si>
  <si>
    <t>(D) Average Relative Humidity</t>
  </si>
  <si>
    <t>(D) Contaminant Abrasive Index</t>
  </si>
  <si>
    <t>(D) Contaminant Likelihood</t>
  </si>
  <si>
    <t>(D) Environmental Conditions</t>
  </si>
  <si>
    <t>(D) Water Contact Conditions</t>
  </si>
  <si>
    <t>(D) Runtime Percentage</t>
  </si>
  <si>
    <t>(D) Regrease Volume</t>
  </si>
  <si>
    <t>(DU) Regrease Volume</t>
  </si>
  <si>
    <t>(D) Relube Interval</t>
  </si>
  <si>
    <t>(DU) Relube Interval</t>
  </si>
  <si>
    <t>(D) Ultrasonic Greasing (Currently)</t>
  </si>
  <si>
    <t>(D) Make &amp; Model</t>
  </si>
  <si>
    <t>(D) Height</t>
  </si>
  <si>
    <t>(DU) Height</t>
  </si>
  <si>
    <t>(D) Width</t>
  </si>
  <si>
    <t>(DU) Width</t>
  </si>
  <si>
    <t>(D) Length</t>
  </si>
  <si>
    <t>(DU) Length</t>
  </si>
  <si>
    <t>(D) Oil Capacity</t>
  </si>
  <si>
    <t>(DU) Oil Capacity</t>
  </si>
  <si>
    <t>(D) Grease Capacity</t>
  </si>
  <si>
    <t>(DU) Grease Capacity</t>
  </si>
  <si>
    <t>(D) Compressor/Gas Type</t>
  </si>
  <si>
    <t>(D) Coupling Type</t>
  </si>
  <si>
    <t>(D) Turbine Type</t>
  </si>
  <si>
    <t>(D) Gearbox Type</t>
  </si>
  <si>
    <t>(D) Open Gear Diameter</t>
  </si>
  <si>
    <t>(D) Ratio</t>
  </si>
  <si>
    <t>(D) Input Speed</t>
  </si>
  <si>
    <t>(D) Ball Valve Equipped</t>
  </si>
  <si>
    <t>(D) Breather/Fill Port Clearance</t>
  </si>
  <si>
    <t>(D) Breather/Fill Port Size</t>
  </si>
  <si>
    <t>(D) Constant Level Oiler Equipped</t>
  </si>
  <si>
    <t>(D) Current Breather</t>
  </si>
  <si>
    <t>(D) Current Breather Change Status</t>
  </si>
  <si>
    <t>(D) Current BS&amp;W Bowl</t>
  </si>
  <si>
    <t>(D) Current BS&amp;W Bowl Change Status</t>
  </si>
  <si>
    <t>(D) Current Grease Accessory</t>
  </si>
  <si>
    <t>(D) Current Grease Accessory Change Status</t>
  </si>
  <si>
    <t>(D) Current Level Indicator</t>
  </si>
  <si>
    <t>(D) Current Level Indicator Change Status</t>
  </si>
  <si>
    <t>(D) Current Lubricant (Name)</t>
  </si>
  <si>
    <t>(D) Current Lubricant (LIS)</t>
  </si>
  <si>
    <t>(D) Current Lubricant Change Status</t>
  </si>
  <si>
    <t>(D) Current Quick Connects</t>
  </si>
  <si>
    <t>(D) Current Quick Connects Change Status</t>
  </si>
  <si>
    <t>(D) Current Sample Method</t>
  </si>
  <si>
    <t>(D) Current Sample Method Change Status</t>
  </si>
  <si>
    <t>(D) Differential Pressure Gauge Equipped</t>
  </si>
  <si>
    <t>(D) Distance from Drain Port to Oil Level</t>
  </si>
  <si>
    <t>(DU) Distance from Drain Port to Oil Level</t>
  </si>
  <si>
    <t>(D) Distance to Lube Point</t>
  </si>
  <si>
    <t>(D) Drain Port Clearance</t>
  </si>
  <si>
    <t>(D) Drain Port Size</t>
  </si>
  <si>
    <t>(D) Filter Beta Ratio</t>
  </si>
  <si>
    <t>(D) Filter Configuration</t>
  </si>
  <si>
    <t>(D) Filter Location</t>
  </si>
  <si>
    <t>(D) Filter Micron Rating</t>
  </si>
  <si>
    <t>(D) Filter Operating Pressure</t>
  </si>
  <si>
    <t>(DU) Filter Operating Pressure</t>
  </si>
  <si>
    <t>(D) Filter Type</t>
  </si>
  <si>
    <t>(D) Flow Rate</t>
  </si>
  <si>
    <t>(DU) Flow Rate</t>
  </si>
  <si>
    <t>(D) Grease Extension Line(s)</t>
  </si>
  <si>
    <t>(D) Grease Fitting</t>
  </si>
  <si>
    <t>(D) Grease Reservoir Type</t>
  </si>
  <si>
    <t>(D) Level Indicator Side Port Size</t>
  </si>
  <si>
    <t>(D) Level/Side Port Clearance</t>
  </si>
  <si>
    <t>(D) Lube Application Method</t>
  </si>
  <si>
    <t>(D) Lubricant Analysis</t>
  </si>
  <si>
    <t>(D) Lubricant Analysis Score</t>
  </si>
  <si>
    <t>(D) Test Slate</t>
  </si>
  <si>
    <t>(D) Number of Grease Fittings on Component</t>
  </si>
  <si>
    <t>(D) Number of Identical Components</t>
  </si>
  <si>
    <t>(D) Oil Mist Evidence on Headspace</t>
  </si>
  <si>
    <t>(D) Recommended Breather</t>
  </si>
  <si>
    <t>(D) Recommended BS&amp;W Bowl</t>
  </si>
  <si>
    <t>(D) Recommended Grease Accessory</t>
  </si>
  <si>
    <t>(D) Recommended Level Indicator</t>
  </si>
  <si>
    <t>(D) Recommended Lube Application Method</t>
  </si>
  <si>
    <t>(D) Recommended Lubricant (Name)</t>
  </si>
  <si>
    <t>(D) Recommended Lubricant (LIS)</t>
  </si>
  <si>
    <t>(D) Recommended Quick Connects</t>
  </si>
  <si>
    <t>(D) Recommended Sample Method</t>
  </si>
  <si>
    <t>(D) Recommended Spin-on filter</t>
  </si>
  <si>
    <t>(D) Relief Port Equipped</t>
  </si>
  <si>
    <t>(D) Single Point Lubricator</t>
  </si>
  <si>
    <t>(D) Total Number of Ports</t>
  </si>
  <si>
    <t>Bearing type</t>
  </si>
  <si>
    <t>Position</t>
  </si>
  <si>
    <t>Factor K</t>
  </si>
  <si>
    <t>T</t>
  </si>
  <si>
    <t>Años</t>
  </si>
  <si>
    <t>Meses</t>
  </si>
  <si>
    <t>Semanas</t>
  </si>
  <si>
    <t>Días</t>
  </si>
  <si>
    <t>Horas</t>
  </si>
  <si>
    <t>fd355570-0d44-498d-8080-9f89e0425140</t>
  </si>
  <si>
    <t>Digestión|Area 201</t>
  </si>
  <si>
    <t>2ab27f2c-2dd2-4f24-9be5-73dde3ae2050</t>
  </si>
  <si>
    <t>Cinta auxiliar C-1A-05</t>
  </si>
  <si>
    <t>C-1A-05</t>
  </si>
  <si>
    <t>Motor eléctrico</t>
  </si>
  <si>
    <t>Sealed Motor</t>
  </si>
  <si>
    <t>Rodamiento sellado</t>
  </si>
  <si>
    <t>rtrujillo</t>
  </si>
  <si>
    <t>50ddf029-088a-4f4d-8f1c-caab734656ae</t>
  </si>
  <si>
    <t>Reductor</t>
  </si>
  <si>
    <t>Gearbox (Oil)</t>
  </si>
  <si>
    <t>Caja de engranajes</t>
  </si>
  <si>
    <t>Gearbox Housing (Oil)</t>
  </si>
  <si>
    <t>el nivel por varilla y respirador. No es conveniente instalar mirilla exterior</t>
  </si>
  <si>
    <t>125°F (51.7°C) - 150°F (65.6°C)</t>
  </si>
  <si>
    <t>Extreme</t>
  </si>
  <si>
    <t>Inside (Unconditioned)</t>
  </si>
  <si>
    <t>No Water Contact, Very Dry Conditions</t>
  </si>
  <si>
    <t>mm</t>
  </si>
  <si>
    <t>Liters</t>
  </si>
  <si>
    <t>Right Angle</t>
  </si>
  <si>
    <t>Greater than 10:1</t>
  </si>
  <si>
    <t>1000 to 2000 RPM</t>
  </si>
  <si>
    <t>Flange/Hatch</t>
  </si>
  <si>
    <t>Open Vent</t>
  </si>
  <si>
    <t>None</t>
  </si>
  <si>
    <t>Dipstick</t>
  </si>
  <si>
    <t>Repsol - Super Tauro 220 - 220</t>
  </si>
  <si>
    <t>None / Not Sampling</t>
  </si>
  <si>
    <t>1"</t>
  </si>
  <si>
    <t>Hybrid Breather</t>
  </si>
  <si>
    <t>Columnar Level Gauge w/Tube to Headspace</t>
  </si>
  <si>
    <t>Sample Valve, With Pilot Tube</t>
  </si>
  <si>
    <t>341361c9-0296-400b-b80a-6eb804784991</t>
  </si>
  <si>
    <t>Tambor cabeza</t>
  </si>
  <si>
    <t>Bearing (Grease)</t>
  </si>
  <si>
    <t>Rodamiento</t>
  </si>
  <si>
    <t>230 32 CCK/W33</t>
  </si>
  <si>
    <t>Tapered/Spherical</t>
  </si>
  <si>
    <t>Horizontal</t>
  </si>
  <si>
    <t>Bearing</t>
  </si>
  <si>
    <t>&lt;0.2 ips</t>
  </si>
  <si>
    <t>75% (75 Percent)</t>
  </si>
  <si>
    <t>Heavy (Mining, Rock Quarry Environment)</t>
  </si>
  <si>
    <t>60 to 90%</t>
  </si>
  <si>
    <t>Grams</t>
  </si>
  <si>
    <t>Month(s)</t>
  </si>
  <si>
    <t>#DELETE#</t>
  </si>
  <si>
    <t>Grease Line Extension (GLE)</t>
  </si>
  <si>
    <t>Repsol - Grasa Litica EP 2 - 150</t>
  </si>
  <si>
    <t>Within 4 feet</t>
  </si>
  <si>
    <t>Button Head Fitting</t>
  </si>
  <si>
    <t>8f7c9dbb-353b-4298-8d53-17a8751de2b4</t>
  </si>
  <si>
    <t>Tambor retorno</t>
  </si>
  <si>
    <t>Soporte 
S3028K</t>
  </si>
  <si>
    <t>230 28 CCK/W33</t>
  </si>
  <si>
    <t>Hour(s)</t>
  </si>
  <si>
    <t>Within Reach</t>
  </si>
  <si>
    <t>264208ef-b977-4b55-983b-180af585db0c</t>
  </si>
  <si>
    <t>Cinta de bauxita C-12A-01</t>
  </si>
  <si>
    <t>C-12A-01</t>
  </si>
  <si>
    <t>Acoplamiento accionamiento inferior</t>
  </si>
  <si>
    <t>Coupling (Oil)</t>
  </si>
  <si>
    <t>Acoplamiento (aceite)</t>
  </si>
  <si>
    <t>Coupling Housing (Oil)</t>
  </si>
  <si>
    <t>gal</t>
  </si>
  <si>
    <t>Level Plug</t>
  </si>
  <si>
    <t>491ee2d5-1250-482a-a4cb-dd5941f7460f</t>
  </si>
  <si>
    <t>Acoplamiento accionamiento superior</t>
  </si>
  <si>
    <t>cc7bdbf6-2332-4bbf-9371-474724844396</t>
  </si>
  <si>
    <t>Motor eléctrico accionamiento inferior</t>
  </si>
  <si>
    <t>Electric Motor (Grease)</t>
  </si>
  <si>
    <t>Rodamiento - DE</t>
  </si>
  <si>
    <t>Ball</t>
  </si>
  <si>
    <t>324-365</t>
  </si>
  <si>
    <t>150°F (65.6°C) - 175°F (79.4°C)</t>
  </si>
  <si>
    <t>High</t>
  </si>
  <si>
    <t>Outside (Uncovered)</t>
  </si>
  <si>
    <t>Typical Humidity, but Occasional Rain</t>
  </si>
  <si>
    <t>&gt;90%</t>
  </si>
  <si>
    <t>Kluber - Kluberplex BEM 41-132 - 120</t>
  </si>
  <si>
    <t>69abcba5-903a-410d-84a8-af624ffe4cce</t>
  </si>
  <si>
    <t>Rodamiento - NDE</t>
  </si>
  <si>
    <t>937ba050-84a7-4cb1-ac9e-44ae7073b318</t>
  </si>
  <si>
    <t>Motor eléctrico accionamiento superior</t>
  </si>
  <si>
    <t>4e4ecef0-f29e-4b46-b85d-5ecbfbd56c1d</t>
  </si>
  <si>
    <t>fb0665f3-4aaf-4307-82d1-31d53a2cbf0d</t>
  </si>
  <si>
    <t>Reductor accionamiento inferior cinta</t>
  </si>
  <si>
    <t>Drain port (No pilot tube)</t>
  </si>
  <si>
    <t>Expansion Chamber</t>
  </si>
  <si>
    <t>b1ed8504-5a05-49e0-92b6-a07d59a2511b</t>
  </si>
  <si>
    <t>Reductor accionamiento superior</t>
  </si>
  <si>
    <t>1cd12f08-c7ce-4978-8315-ce07f7882ff2</t>
  </si>
  <si>
    <t>Tambor cola</t>
  </si>
  <si>
    <t>Falta extensión de un lado</t>
  </si>
  <si>
    <t>Inches</t>
  </si>
  <si>
    <t>No Water Contact, Typical Humidity</t>
  </si>
  <si>
    <t>Hydraulic Fitting</t>
  </si>
  <si>
    <t>980d3fc0-118c-41eb-8950-bccac80533cd</t>
  </si>
  <si>
    <t>Tambor contrapeso inferior</t>
  </si>
  <si>
    <t>FAG S3028</t>
  </si>
  <si>
    <t>280090ff-8f4d-49ff-b994-a1d4c0b807e3</t>
  </si>
  <si>
    <t>Tambor contrapeso lado cabeza</t>
  </si>
  <si>
    <t>214afea4-f0af-4711-b83f-b9c189ad2ad7</t>
  </si>
  <si>
    <t>Tambor contrapeso lado cola</t>
  </si>
  <si>
    <t>dcd8721f-4bf5-46cd-b47e-c3b958c6b6e9</t>
  </si>
  <si>
    <t>Tambor motriz inferior</t>
  </si>
  <si>
    <t>a89b3069-e9b5-4ee8-9b53-78e985ce107c</t>
  </si>
  <si>
    <t>Tambor motriz superior</t>
  </si>
  <si>
    <t>dc712b07-271a-4563-ac7f-f78ebf9cbe28</t>
  </si>
  <si>
    <t>Tambor zona 8</t>
  </si>
  <si>
    <t>7b41b9ce-2525-4276-a6ea-175981f6766f</t>
  </si>
  <si>
    <t>Cinta de bauxita C-1A-01</t>
  </si>
  <si>
    <t>C-1A-01</t>
  </si>
  <si>
    <t>26356597-f0ee-4cb8-beb4-fdaafb882186</t>
  </si>
  <si>
    <t>438de06d-28ee-4e8b-a8ee-2d8777b4395d</t>
  </si>
  <si>
    <t>c9a0dcb0-4312-4b09-9e52-d7d43d9c405d</t>
  </si>
  <si>
    <t>a2bb5979-93cd-470f-b873-2174f53320df</t>
  </si>
  <si>
    <t>f4125d6a-0244-4a37-8c8c-f3d014e67f36</t>
  </si>
  <si>
    <t>0b8846e9-08a3-4c54-b744-9fc18519a2c8</t>
  </si>
  <si>
    <t>907b6bac-358d-47a0-8621-9d3333ed377a</t>
  </si>
  <si>
    <t>da0d1e03-0a4f-4c85-9151-98c76d34a585</t>
  </si>
  <si>
    <t>48357d17-f7b0-421a-b041-03dcde242161</t>
  </si>
  <si>
    <t>47728b91-639b-4e4b-9c96-b9bbdcaf29c0</t>
  </si>
  <si>
    <t>445c37e2-d33a-439e-ac48-c036b713bdaf</t>
  </si>
  <si>
    <t>230 44 CCK/W33</t>
  </si>
  <si>
    <t>378a5537-bf14-4957-ac78-a269e0ad97bc</t>
  </si>
  <si>
    <t>7f97fbc0-2ac0-47f6-95ed-673b70358bea</t>
  </si>
  <si>
    <t>d4a7922d-fafe-4d58-8c82-dd4eb84ea98e</t>
  </si>
  <si>
    <t>9c052cfa-5d07-478a-9f42-81e4b49cea21</t>
  </si>
  <si>
    <t>Cinta de bauxita C-1A-02</t>
  </si>
  <si>
    <t>C-1A-02</t>
  </si>
  <si>
    <t>404-449</t>
  </si>
  <si>
    <t>0.2-0.4 ips</t>
  </si>
  <si>
    <t>56537ef9-b814-4219-9f7d-73cf3543f097</t>
  </si>
  <si>
    <t>45f2c49c-abe1-45f1-8296-4a1c19e035ec</t>
  </si>
  <si>
    <t>496e94e0-ecce-4141-995d-73ba2e369f58</t>
  </si>
  <si>
    <t>Tambor contrapeso</t>
  </si>
  <si>
    <t>Greater than 4 feet</t>
  </si>
  <si>
    <t>7083dcc8-809a-462a-990e-ba4ba6c3dcea</t>
  </si>
  <si>
    <t>Soporte S3028K</t>
  </si>
  <si>
    <t>ab5abf7b-b0eb-4cde-81d5-de96b5d92ddf</t>
  </si>
  <si>
    <t>Tambor retorno contrapeso</t>
  </si>
  <si>
    <t>4a2ab6e2-c92c-435a-a579-a44aa0cd4a25</t>
  </si>
  <si>
    <t>Tambor tensión</t>
  </si>
  <si>
    <t>50aa8c8e-4fc1-4773-9478-36cbf8bcf392</t>
  </si>
  <si>
    <t>Cinta de bauxita C-1A-04</t>
  </si>
  <si>
    <t>C-1A-04</t>
  </si>
  <si>
    <t>1be56ffe-3389-4039-8489-11a0bd33ac23</t>
  </si>
  <si>
    <t>Motor eléctrico accionamiento principal</t>
  </si>
  <si>
    <t>701f6a0d-6349-4539-93e7-c234f6dc8f60</t>
  </si>
  <si>
    <t>Motor eléctrico electroimán</t>
  </si>
  <si>
    <t>918b2421-e16f-4638-a107-7be0ff399434</t>
  </si>
  <si>
    <t>Reductor accionamiento inferior</t>
  </si>
  <si>
    <t>e19e0498-c78c-4e48-9c97-e46c2b148e9c</t>
  </si>
  <si>
    <t>Reductor accionamiento principal</t>
  </si>
  <si>
    <t>ff5c36d1-411d-4545-a361-b5b7f4d3b97c</t>
  </si>
  <si>
    <t>Soportes cinta electroimán (8)</t>
  </si>
  <si>
    <t>02f44d5e-43f8-42ae-b5d2-42adf518a86d</t>
  </si>
  <si>
    <t>Tambor accionamiento inferior</t>
  </si>
  <si>
    <t>230 52 CCK/W33</t>
  </si>
  <si>
    <t>a215114f-76a1-47d5-9dd0-272fce8478a5</t>
  </si>
  <si>
    <t>Tambor cabeza accionamiento superior</t>
  </si>
  <si>
    <t>abc44c0c-78f3-45c5-8a01-9f0b1d1a0e65</t>
  </si>
  <si>
    <t>0f383531-12ff-4ab2-8a7b-632a62096cef</t>
  </si>
  <si>
    <t>cb95e27e-cd87-4011-a134-615c1dbce7fb</t>
  </si>
  <si>
    <t>9526e69d-5c1e-4c79-9985-f2e3676f7285</t>
  </si>
  <si>
    <t>Tambor zona ocho</t>
  </si>
  <si>
    <t>c98ce6c6-a9c8-45d3-a3c7-a01aba2c3573</t>
  </si>
  <si>
    <t>Cinta de descarga exterior C-1A-06</t>
  </si>
  <si>
    <t>C-1A-06</t>
  </si>
  <si>
    <t>254-286</t>
  </si>
  <si>
    <t>c46d1063-5931-42fb-a385-65abbbafee61</t>
  </si>
  <si>
    <t>c11b58aa-853f-4341-aa61-1642dceaae32</t>
  </si>
  <si>
    <t>222 20 E</t>
  </si>
  <si>
    <t>8bc6f85a-9b45-4ccb-9652-0f8ae5847fb7</t>
  </si>
  <si>
    <t>Soporte Tensor eje 120 mm</t>
  </si>
  <si>
    <t>223 20 E</t>
  </si>
  <si>
    <t>40ed7beb-10a9-4e2c-8eaa-af28cc63e12d</t>
  </si>
  <si>
    <t>Cinta descarga nave bauxita C-1A-03</t>
  </si>
  <si>
    <t>C-1A-03</t>
  </si>
  <si>
    <t>Eje traslación soporte izq lado este</t>
  </si>
  <si>
    <t>tres soportes iguales eje superior</t>
  </si>
  <si>
    <t>Housing</t>
  </si>
  <si>
    <t>30 to 60%</t>
  </si>
  <si>
    <t>6198f06b-7e77-4a23-8e80-dabe1007a18a</t>
  </si>
  <si>
    <t>Eje traslación soporte izq lado oeste</t>
  </si>
  <si>
    <t>333745b4-a8a9-4d5c-95cb-27e80b4959b3</t>
  </si>
  <si>
    <t>Engranaje abierto transmisión rueda lado oeste</t>
  </si>
  <si>
    <t>Open Gear (Grease)</t>
  </si>
  <si>
    <t>Engranaje abierto (grasa)</t>
  </si>
  <si>
    <t>Week(s)</t>
  </si>
  <si>
    <t>Manual Brush</t>
  </si>
  <si>
    <t>2dac2c2c-dcc6-4063-b75d-dec7ab2184bf</t>
  </si>
  <si>
    <t>Motor eléctrico cinta</t>
  </si>
  <si>
    <t>a2bd6c4a-e97c-4791-8898-8430239beace</t>
  </si>
  <si>
    <t>c2bdffa8-d1a8-4564-9ab8-1dff9a870313</t>
  </si>
  <si>
    <t>Motor eléctrico traslación lado este</t>
  </si>
  <si>
    <t>dc6ac640-ce40-4ea8-a26c-31fd3c74d3f5</t>
  </si>
  <si>
    <t>Motor eléctrico traslación lado oeste</t>
  </si>
  <si>
    <t>49b7151c-65d7-4620-b86c-5d650df412e8</t>
  </si>
  <si>
    <t>Reductor transmisión cinta</t>
  </si>
  <si>
    <t>Parallel</t>
  </si>
  <si>
    <t>No Port Available</t>
  </si>
  <si>
    <t>Columnar Level Gauge w/Breather Vent</t>
  </si>
  <si>
    <t>dd699692-f5a3-4ad7-9475-4be4efd2f74c</t>
  </si>
  <si>
    <t>Reductor traslación lado este</t>
  </si>
  <si>
    <t>Todo el conjunto de traslación es idéntico al del lado oeste</t>
  </si>
  <si>
    <t>Worm</t>
  </si>
  <si>
    <t>1/2"</t>
  </si>
  <si>
    <t>2D Sight Glass (Bullseye)</t>
  </si>
  <si>
    <t>3D Sight Glass - With Sample Valve (1")</t>
  </si>
  <si>
    <t>111f7c6f-8368-4e7d-a4ea-ba804fbf6037</t>
  </si>
  <si>
    <t>Reductor traslación lado oeste</t>
  </si>
  <si>
    <t>d2654fd6-0cf0-437f-bf11-1436a838f95a</t>
  </si>
  <si>
    <t>Rueda traslación (4) lado este</t>
  </si>
  <si>
    <t>cuatro soportes iguales ruedas traslación</t>
  </si>
  <si>
    <t>8f17a23c-1c12-41d6-99e6-848835bb6da5</t>
  </si>
  <si>
    <t>Rueda traslación (4) lado oeste</t>
  </si>
  <si>
    <t>7aefaf38-a8d0-4244-a537-efab055d01a4</t>
  </si>
  <si>
    <t>Ruedas movidas</t>
  </si>
  <si>
    <t>cc3d6e8b-4ce9-4bf5-bca0-070d3bda8c71</t>
  </si>
  <si>
    <t>Sistema hidráulico tensión</t>
  </si>
  <si>
    <t>Hydraulic System (Oil)</t>
  </si>
  <si>
    <t>Filtro de aceite</t>
  </si>
  <si>
    <t>Filter (Oil)</t>
  </si>
  <si>
    <t>PSI</t>
  </si>
  <si>
    <t>Drop-in</t>
  </si>
  <si>
    <t>518c67c7-5b4c-449d-98db-046e8b89205f</t>
  </si>
  <si>
    <t>Tanque aceite</t>
  </si>
  <si>
    <t>Hydraulic System Reservoir (Oil)</t>
  </si>
  <si>
    <t>Other</t>
  </si>
  <si>
    <t>Drop Tube</t>
  </si>
  <si>
    <t>Particle Breather</t>
  </si>
  <si>
    <t>13864fd4-e74a-4565-a180-6860dd308b6b</t>
  </si>
  <si>
    <t>Tubería (hidráulico)</t>
  </si>
  <si>
    <t>Piping (Hydraulic)</t>
  </si>
  <si>
    <t>b363fb3c-39fc-4b5e-ad7f-1089d82dff1f</t>
  </si>
  <si>
    <t>4621b3d9-9a59-438b-ae87-9b7e5cdba385</t>
  </si>
  <si>
    <t>53c69ef1-0593-42ef-b2ca-49e7dd1d2aa6</t>
  </si>
  <si>
    <t>Pórtico</t>
  </si>
  <si>
    <t>B-1A-01</t>
  </si>
  <si>
    <t>Accionamiento pluma auxiliar</t>
  </si>
  <si>
    <t>Chain (Grease)</t>
  </si>
  <si>
    <t>Cadena</t>
  </si>
  <si>
    <t>55aad875-66b7-4a60-89a9-af199fd88e2a</t>
  </si>
  <si>
    <t>Brazo articulado pluma auxiliar</t>
  </si>
  <si>
    <t>Bushing (Grease)</t>
  </si>
  <si>
    <t>Bujes inferiores</t>
  </si>
  <si>
    <t>lubricación manual aprox semanal</t>
  </si>
  <si>
    <t>Journal Bearing</t>
  </si>
  <si>
    <t>6f7ae61c-88ad-4948-9b46-e08727a75344</t>
  </si>
  <si>
    <t>Bujes superiores</t>
  </si>
  <si>
    <t>0f18943a-e4ba-4549-b90f-72edcfcb0211</t>
  </si>
  <si>
    <t>Cojinetes accionamiento cadena pluma principal</t>
  </si>
  <si>
    <t>Buje</t>
  </si>
  <si>
    <t>Part of a Centralized Grease System</t>
  </si>
  <si>
    <t>Centralized System Attached</t>
  </si>
  <si>
    <t>09240e01-3353-4993-a1bb-7373dceb76a8</t>
  </si>
  <si>
    <t>Engranaje abierto traslación</t>
  </si>
  <si>
    <t>Chain (Oil)</t>
  </si>
  <si>
    <t>6e5837c4-8e46-490c-864d-db5b2b71c827</t>
  </si>
  <si>
    <t>Motor accionamiento pluma principal</t>
  </si>
  <si>
    <t>Ratio 1:124.37</t>
  </si>
  <si>
    <t>5a4945e7-4980-48f3-9174-3d7a69372680</t>
  </si>
  <si>
    <t>bb0549f3-5dbb-4212-93d5-86cf6181b1e6</t>
  </si>
  <si>
    <t>Motor eléctrico accionamiento secundario</t>
  </si>
  <si>
    <t>Ratio 1:78.65</t>
  </si>
  <si>
    <t>3718f953-6f23-4f65-ac85-1ba4eb206e6c</t>
  </si>
  <si>
    <t>2d91efb0-f804-40e1-b9b3-8771f585ec0f</t>
  </si>
  <si>
    <t>Motor eléctrico sistema elevación</t>
  </si>
  <si>
    <t>8c943488-7368-49b7-b7d5-015f49d79bc8</t>
  </si>
  <si>
    <t>0d679f99-6ebc-4978-b640-2ec11a7f5574</t>
  </si>
  <si>
    <t>Motor eléctrico traslación lado norte</t>
  </si>
  <si>
    <t>1d6b803e-8b0b-4e6a-8d65-f95ad1b31669</t>
  </si>
  <si>
    <t>Motor eléctrico traslación lado sur</t>
  </si>
  <si>
    <t>4c2302ce-a187-4319-8732-016b71563b41</t>
  </si>
  <si>
    <t>Reductor accionamiento pluma principal</t>
  </si>
  <si>
    <t>Esoacio lumitado para respirador, colocar cámara de expansión cin e tensión</t>
  </si>
  <si>
    <t>2"</t>
  </si>
  <si>
    <t>835122ad-57cf-4d4a-ba13-f4b38d5c33e5</t>
  </si>
  <si>
    <t>Reductor accionamiento secundario</t>
  </si>
  <si>
    <t>1 1/2"</t>
  </si>
  <si>
    <t>2835a92a-a220-435c-9972-a2ffeb90a07a</t>
  </si>
  <si>
    <t>Reductor sistema elevación</t>
  </si>
  <si>
    <t>14b753fc-c56b-4de0-ad98-04fe4717dcdd</t>
  </si>
  <si>
    <t>Reductor traslación lado norte</t>
  </si>
  <si>
    <t>969abc2c-a097-480a-8be3-bb9eb06ecc9a</t>
  </si>
  <si>
    <t>Reductor traslación lado sur</t>
  </si>
  <si>
    <t>d2d14cc1-2368-488d-a795-862e5c5d3c2d</t>
  </si>
  <si>
    <t>Rodamientos tambor de cable elevación</t>
  </si>
  <si>
    <t>Single Point Lubricator (500cc)</t>
  </si>
  <si>
    <t>2adf73fb-732d-4061-a74b-2fa173807668</t>
  </si>
  <si>
    <t>Ruedas traslación accionadas norte</t>
  </si>
  <si>
    <t>Rodamiento de rueda</t>
  </si>
  <si>
    <t>puntos de engrase de difícil acceso solo con maquina detenida 
sugerir LUP</t>
  </si>
  <si>
    <t>Not Accessible</t>
  </si>
  <si>
    <t>0fa2d4b9-f8d4-40a6-9fc0-edbd8e8697e2</t>
  </si>
  <si>
    <t>1fda4d33-ba6f-4135-9683-f82da3bacca7</t>
  </si>
  <si>
    <t>Ruedas traslación accionadas sur</t>
  </si>
  <si>
    <t>2344c5bb-7f5a-415e-8e90-9e27425a8a72</t>
  </si>
  <si>
    <t>Ruedas traslación movidas norte</t>
  </si>
  <si>
    <t>39c64fa0-e448-499c-ac33-7c97e83e2885</t>
  </si>
  <si>
    <t>Ruedas traslación movidas sur</t>
  </si>
  <si>
    <t>6cb3529b-ba37-4a23-bab8-648f9009f684</t>
  </si>
  <si>
    <t>Sistema automático de engrase piñón corona</t>
  </si>
  <si>
    <t>Auto Grease System w/Reservoir</t>
  </si>
  <si>
    <t>Reservorio de grasa</t>
  </si>
  <si>
    <t>Reservoir (Grease)</t>
  </si>
  <si>
    <t>Verkol - QUAKERTEX EPX 00 - 00</t>
  </si>
  <si>
    <t>Plugged</t>
  </si>
  <si>
    <t>Manual (hand packed)</t>
  </si>
  <si>
    <t>05d4dec1-b473-4db3-8991-245c53187360</t>
  </si>
  <si>
    <t>Transmisión ruedas traslación norte</t>
  </si>
  <si>
    <t>d9a7d443-cf00-48af-9a31-73c2a1943713</t>
  </si>
  <si>
    <t>Transmisión ruedas traslación sur</t>
  </si>
  <si>
    <t>ab683667-b55e-45d2-be00-812d91a73410</t>
  </si>
  <si>
    <t>Digestión|Area 202</t>
  </si>
  <si>
    <t>0824341f-bc2f-4637-b5f1-4fa814f81201</t>
  </si>
  <si>
    <t>Alimentador de bauxita B-2A-1A</t>
  </si>
  <si>
    <t>B-2A-1A</t>
  </si>
  <si>
    <t>Cadena transmisión principal</t>
  </si>
  <si>
    <t>a27b4467-68af-4827-ace4-b69fb3a80945</t>
  </si>
  <si>
    <t>Cadena transmisión rodillos</t>
  </si>
  <si>
    <t>0a07f39d-2caa-490d-8d2f-62c2c08c5012</t>
  </si>
  <si>
    <t>Motor eléctrico transmisión principal</t>
  </si>
  <si>
    <t>b04bdef2-ba10-49b9-b790-716580fa3a0f</t>
  </si>
  <si>
    <t>Reductor transmisión</t>
  </si>
  <si>
    <t>Less than 10:1</t>
  </si>
  <si>
    <t>3D Sight Glass (Bullseye) - With Sample Valve</t>
  </si>
  <si>
    <t>68bc209c-3ca7-45ee-9b79-3bfe41be3df1</t>
  </si>
  <si>
    <t>Rodillos alimentador</t>
  </si>
  <si>
    <t>60085d60-d124-4d76-b7bf-703f4e7a5960</t>
  </si>
  <si>
    <t>Soporte cadena lado reductor</t>
  </si>
  <si>
    <t>0a4d8dd3-717a-4941-91e1-031d2a919009</t>
  </si>
  <si>
    <t>Soporte cadena lado rodillo</t>
  </si>
  <si>
    <t>270fc32a-3c69-42a8-a370-4176813f0212</t>
  </si>
  <si>
    <t>Alimentador de bauxita B-2A-1B</t>
  </si>
  <si>
    <t>B-2A-1B</t>
  </si>
  <si>
    <t>94915d04-c772-4ca3-85a1-2a9eaeeac1fe</t>
  </si>
  <si>
    <t>49eb46fb-fae6-4b76-b715-9b112bad9ae2</t>
  </si>
  <si>
    <t>09e80522-5f8a-4512-ad0f-a413768560e9</t>
  </si>
  <si>
    <t>e0cd3393-7009-487c-9e4b-1b8d767eeadc</t>
  </si>
  <si>
    <t>bbdcb6c3-4fe0-4be6-b481-67bca616e43b</t>
  </si>
  <si>
    <t>f8d4a2fd-ce62-4aca-ac76-259c7bff9347</t>
  </si>
  <si>
    <t>b0955350-dbad-4824-8a45-1db70fac705c</t>
  </si>
  <si>
    <t>Cinta alimentación molinos A</t>
  </si>
  <si>
    <t>C-2A-4A</t>
  </si>
  <si>
    <t>Cable contrapeso</t>
  </si>
  <si>
    <t>Wire Rope (Grease)</t>
  </si>
  <si>
    <t>Cable de acero</t>
  </si>
  <si>
    <t>ac7ef291-1305-40c6-8c5c-04266f6afa13</t>
  </si>
  <si>
    <t>Motor eléctrico accionamiento</t>
  </si>
  <si>
    <t>574fb4a7-719b-4d3f-9c49-39298d4f2daa</t>
  </si>
  <si>
    <t>Polea horizontal contrapeso</t>
  </si>
  <si>
    <t>Vertical</t>
  </si>
  <si>
    <t>b552dce1-2e0a-4a28-97dc-b12b22b56e54</t>
  </si>
  <si>
    <t>Polea vertical contrapeso</t>
  </si>
  <si>
    <t>poleas superiores inaccesibles</t>
  </si>
  <si>
    <t>f2b2111b-b9c5-42e2-a72e-53a610426607</t>
  </si>
  <si>
    <t>Reductor accionamiento</t>
  </si>
  <si>
    <t>496c4ea0-381d-4942-935b-cbfc3079af78</t>
  </si>
  <si>
    <t>Ruedas carro tensor</t>
  </si>
  <si>
    <t>cf59199c-3cdf-456b-befd-070095238cef</t>
  </si>
  <si>
    <t>requiere GLE lado cople</t>
  </si>
  <si>
    <t>d8938532-09ed-41fe-9e46-17fc73be6af2</t>
  </si>
  <si>
    <t>0a0f00be-361a-4f7a-8350-4110965ff175</t>
  </si>
  <si>
    <t>Cinta alimentación molinos B</t>
  </si>
  <si>
    <t>C-2A-4B</t>
  </si>
  <si>
    <t>b95cdf14-510a-4678-a7f1-864cf6c9444b</t>
  </si>
  <si>
    <t>e12ef67e-7eee-456d-bf3a-981c11188ce4</t>
  </si>
  <si>
    <t>bd115030-37b9-43e2-80e6-01f5b7e42c14</t>
  </si>
  <si>
    <t>00d67463-4e3f-4bdb-8fe6-7eccb048fe55</t>
  </si>
  <si>
    <t>d58043f6-97c5-4af2-adf6-a917285ce4a7</t>
  </si>
  <si>
    <t>f3c44f54-8713-4950-b696-613377434674</t>
  </si>
  <si>
    <t>e4706dfc-cfc2-4d53-a60d-fb7f1fee8063</t>
  </si>
  <si>
    <t>d0620f94-19f9-4bf7-95a2-3b9536e5a075</t>
  </si>
  <si>
    <t>Cinta alimentación molinos C</t>
  </si>
  <si>
    <t>C-2A-4C</t>
  </si>
  <si>
    <t>75fbd353-7c29-40f3-a3a8-ab3be92af8b2</t>
  </si>
  <si>
    <t>71733f1e-037c-4881-bff0-6c6df327549d</t>
  </si>
  <si>
    <t>62f69fb8-95c9-4b56-9085-70924d59ae20</t>
  </si>
  <si>
    <t>02d3147e-2bb9-46df-8f71-befd628e7e32</t>
  </si>
  <si>
    <t>49e8ada3-087d-4ede-8441-335eeaf68ddf</t>
  </si>
  <si>
    <t>33ddb132-d7b1-45e4-aade-0e04fc6483c3</t>
  </si>
  <si>
    <t>0a763a1a-5ac8-4536-a698-9ffc7f49e5f8</t>
  </si>
  <si>
    <t>af6ed739-c52a-41c3-9354-a380f53d21d9</t>
  </si>
  <si>
    <t>Cinta alimentación molinos D</t>
  </si>
  <si>
    <t>C-2A-4D</t>
  </si>
  <si>
    <t>74d5976d-2b30-4a84-828e-2a3d97fc59e3</t>
  </si>
  <si>
    <t>Closed Port (Plugged)</t>
  </si>
  <si>
    <t>3D Sight Glass (Bullseye)</t>
  </si>
  <si>
    <t>4a6fa996-8e23-43a3-8464-21af06595ccf</t>
  </si>
  <si>
    <t>222 17 EK</t>
  </si>
  <si>
    <t>3804cf1f-0a51-46df-8bf1-aa9a78ad0270</t>
  </si>
  <si>
    <t>22213-CK</t>
  </si>
  <si>
    <t>19eb51a8-a972-4c2c-9cc6-0b679369e42d</t>
  </si>
  <si>
    <t>Tambor inflexión</t>
  </si>
  <si>
    <t>2211-K</t>
  </si>
  <si>
    <t>6e4207bb-f9a8-4d45-9118-7fab51226a41</t>
  </si>
  <si>
    <t>Cinta bauxita C-2A-01</t>
  </si>
  <si>
    <t>C-2A-01</t>
  </si>
  <si>
    <t>39ca580c-ef4d-4a0f-8438-c5de50cb5e50</t>
  </si>
  <si>
    <t>c6af5ddb-1330-4ba8-836e-1880f34ed5ae</t>
  </si>
  <si>
    <t>d0ca4fb7-b2a5-4205-bc36-34bd3c179309</t>
  </si>
  <si>
    <t>0725952d-32d1-465f-b951-71a8987e5917</t>
  </si>
  <si>
    <t>Tambor cola ELIMINAR</t>
  </si>
  <si>
    <t>fb25985a-f6a9-430b-8a2e-1a54beb1790a</t>
  </si>
  <si>
    <t>274d5a99-9836-4553-9566-913d0748d4c8</t>
  </si>
  <si>
    <t>a57e3875-5793-4f20-82c3-655b35e3d12e</t>
  </si>
  <si>
    <t>Tambor contrapeso lado retorno</t>
  </si>
  <si>
    <t>78a69c55-80ca-4047-9b60-2eb181e45c6b</t>
  </si>
  <si>
    <t>Cinta bauxita C-2A-02</t>
  </si>
  <si>
    <t>C-2A-02</t>
  </si>
  <si>
    <t>bdf1a5cf-d768-4d34-81d5-085638317628</t>
  </si>
  <si>
    <t>76bdb368-28b3-4624-9fd5-2ca7de4fbbad</t>
  </si>
  <si>
    <t>eb9fdd05-de0b-48e6-b50d-9007a6b292f0</t>
  </si>
  <si>
    <t>839a8394-c643-4397-bc20-f147e193cc9f</t>
  </si>
  <si>
    <t>Cinta bauxita C-2A-03</t>
  </si>
  <si>
    <t>C-2A-03</t>
  </si>
  <si>
    <t>41d03581-b04b-4894-a7fe-1a1706953375</t>
  </si>
  <si>
    <t>cd27c20c-dd8b-46f9-bb93-2a9e26842a15</t>
  </si>
  <si>
    <t>2378dd6b-dc8e-460e-a145-6e2e5d275d1e</t>
  </si>
  <si>
    <t>Requiere GLE</t>
  </si>
  <si>
    <t>230 044 CCK/W33</t>
  </si>
  <si>
    <t>ab9465f9-d3a3-42f1-a599-fd72a5139d61</t>
  </si>
  <si>
    <t>8cef4ad2-3f98-4383-bdbc-ba252a01b2c2</t>
  </si>
  <si>
    <t>Tambor desvío cola</t>
  </si>
  <si>
    <t>230 028 CCK/W33</t>
  </si>
  <si>
    <t>35fbdccf-08b1-4053-9144-ad34b03fe528</t>
  </si>
  <si>
    <t>Tambor desvío motriz</t>
  </si>
  <si>
    <t>14930925-b6a8-4cb3-bc52-db1facce56d3</t>
  </si>
  <si>
    <t>Tambor zona cola 1</t>
  </si>
  <si>
    <t>b7f326b6-9126-42ba-9026-52bc134784d7</t>
  </si>
  <si>
    <t>Tambor zona cola 2</t>
  </si>
  <si>
    <t>376002c1-497e-4f9d-8de4-5252065e9081</t>
  </si>
  <si>
    <t>Tambor zona curva 1</t>
  </si>
  <si>
    <t>ecf9c73f-d1dc-48ad-b71a-02569cd91759</t>
  </si>
  <si>
    <t>Tambor zona curva 2</t>
  </si>
  <si>
    <t>96504396-9c05-4693-be3c-5d9d6f4e0608</t>
  </si>
  <si>
    <t>Machacadora B-2A-2A</t>
  </si>
  <si>
    <t>B-2A-2A</t>
  </si>
  <si>
    <t>Acoplamiento fluido</t>
  </si>
  <si>
    <t>Repsol - Maker Telex E32 - 32</t>
  </si>
  <si>
    <t>dcb213c0-ff5a-4e11-89b5-d27fbc4fb3ad</t>
  </si>
  <si>
    <t>fd085010-178b-433d-ab02-c7f2ef8b0b4f</t>
  </si>
  <si>
    <t>f038dc06-d37a-4e07-9f5f-29a92ecf1826</t>
  </si>
  <si>
    <t>3/4"</t>
  </si>
  <si>
    <t>Unmeasurable</t>
  </si>
  <si>
    <t>cd87c901-9d07-49f4-a65e-2aa0ced8458d</t>
  </si>
  <si>
    <t>Soportes tambor</t>
  </si>
  <si>
    <t>b9fe98ee-ffab-4889-8a9f-e435ba2fd9e0</t>
  </si>
  <si>
    <t>Machacadora B-2A-2B</t>
  </si>
  <si>
    <t>B-2A-2B</t>
  </si>
  <si>
    <t>882b8b4a-61e1-4375-9691-41c0099bd5e5</t>
  </si>
  <si>
    <t>f478687b-a974-4191-9dba-0a2a57abc3cc</t>
  </si>
  <si>
    <t>0db44a70-e3fd-4a4d-a031-9d34fff8d2b0</t>
  </si>
  <si>
    <t>6bb78eeb-7daa-4be2-9a08-c8666749290d</t>
  </si>
  <si>
    <t>5854b81e-ec57-4bd0-ac09-ad86132e600b</t>
  </si>
  <si>
    <t>Molino B</t>
  </si>
  <si>
    <t>B-2A-3B</t>
  </si>
  <si>
    <t>Engranaje piñón-corona</t>
  </si>
  <si>
    <t>Minutes</t>
  </si>
  <si>
    <t>Kluber - Kluberfluid CF3 Ultra - 15000</t>
  </si>
  <si>
    <t>Intermittent Spray (Auto Injector)</t>
  </si>
  <si>
    <t>44f47e3e-fd9c-4553-a461-f4d2e77bb4a3</t>
  </si>
  <si>
    <t>Motor eléctrico giro lento</t>
  </si>
  <si>
    <t>Mantenimiento en parada programada</t>
  </si>
  <si>
    <t>6517c01c-c475-4ff7-8100-535472b7131d</t>
  </si>
  <si>
    <t>Motor eléctrico transmisión</t>
  </si>
  <si>
    <t>180RU03/180BC02</t>
  </si>
  <si>
    <t>180RU03</t>
  </si>
  <si>
    <t>6e16dac4-ff3f-4841-baa0-81745ae2e128</t>
  </si>
  <si>
    <t>Reductor giro lento</t>
  </si>
  <si>
    <t>Sight Glass (Fixed)</t>
  </si>
  <si>
    <t>241d8b2e-5384-409d-b496-b00a593a24fc</t>
  </si>
  <si>
    <t>lubricación por circulación forzada depósito húmedo</t>
  </si>
  <si>
    <t>Desiccant Breather</t>
  </si>
  <si>
    <t>07443793-0e5c-4966-b921-fb5408d86381</t>
  </si>
  <si>
    <t>Duplex</t>
  </si>
  <si>
    <t>Supply Line</t>
  </si>
  <si>
    <t>3718050b-d595-4286-b647-95fa9bb97ea3</t>
  </si>
  <si>
    <t>Tubería (circulación)</t>
  </si>
  <si>
    <t>Piping (Circulating)</t>
  </si>
  <si>
    <t>6691065b-912b-4b36-9643-dfc280c85b2c</t>
  </si>
  <si>
    <t>Sistema automático de engrase</t>
  </si>
  <si>
    <t>8282f025-1f2e-43e5-a0ba-e3ae05beff02</t>
  </si>
  <si>
    <t>Sistema lubricación cojinete lado carga</t>
  </si>
  <si>
    <t>Circulating System (Oil)</t>
  </si>
  <si>
    <t>Non-Isolating</t>
  </si>
  <si>
    <t>Spin-on</t>
  </si>
  <si>
    <t>4ce97dfb-890a-455a-b9f1-5b32159a88ba</t>
  </si>
  <si>
    <t>Soporte molino lado carga</t>
  </si>
  <si>
    <t>Bearing (Circulating)</t>
  </si>
  <si>
    <t>Muestreo en tubería de sistema de circulación antes del filtro
depósito húmedo</t>
  </si>
  <si>
    <t>Repsol - Super Tauro 150 - 150</t>
  </si>
  <si>
    <t>Desiccant Breather (With Washdown Cap)</t>
  </si>
  <si>
    <t>dcc7b8a7-3ace-4a74-9d9f-28fdd18b37ef</t>
  </si>
  <si>
    <t>Muestreo en tubería de sistema de circulación antes del filtro
Depósito húmedo</t>
  </si>
  <si>
    <t>Sample Valve, Return Line (Elbow)</t>
  </si>
  <si>
    <t>01cfb0ad-5806-46f5-89d5-0221f7086040</t>
  </si>
  <si>
    <t>Sistema lubricación cojinete lado descarga</t>
  </si>
  <si>
    <t>fb0f898e-4ff0-4d3d-b55b-8c8d963b6b96</t>
  </si>
  <si>
    <t>Soporte molino lado descarga</t>
  </si>
  <si>
    <t>Bearing (Oil)</t>
  </si>
  <si>
    <t>9e06d93b-bd76-4c06-a686-ffb143253f67</t>
  </si>
  <si>
    <t>61a3a94d-6d1b-4a96-83f5-15ef20022257</t>
  </si>
  <si>
    <t>Soporte piñón lado acoplado</t>
  </si>
  <si>
    <t>sugerir CLO en config cerrada</t>
  </si>
  <si>
    <t>Constant Level Oiler w/ bullseye</t>
  </si>
  <si>
    <t>a717913e-7aed-4378-ba02-0081f6eecd7f</t>
  </si>
  <si>
    <t>Soporte piñón lado libre</t>
  </si>
  <si>
    <t>06df8e6f-cb12-4b42-b437-75e0c2922612</t>
  </si>
  <si>
    <t>Molino D</t>
  </si>
  <si>
    <t>B-2A-3D</t>
  </si>
  <si>
    <t>Kluber - Kluberfluid CF9 S - 36000</t>
  </si>
  <si>
    <t>b493ff26-f58a-4297-ac88-fb1718adfa93</t>
  </si>
  <si>
    <t>NU232</t>
  </si>
  <si>
    <t>49635c0c-affe-4744-9969-30f44dfff772</t>
  </si>
  <si>
    <t>9bf73936-9644-4aff-80d7-f2f0a0cc07af</t>
  </si>
  <si>
    <t>Kluber - Kluberoil GEM 1-320 N - 320</t>
  </si>
  <si>
    <t>7f5934b0-6866-4ba1-bb7c-6b52d8f3460d</t>
  </si>
  <si>
    <t>f387cb36-7eaa-41a8-a8ca-4299b13ce430</t>
  </si>
  <si>
    <t>8cb04c83-ccd5-402a-aa29-ec7d543de1da</t>
  </si>
  <si>
    <t>9a6c492a-14a3-43b2-bdcb-b734a1d23107</t>
  </si>
  <si>
    <t>Tambor 180 kg</t>
  </si>
  <si>
    <t>Keg (Replaceable)</t>
  </si>
  <si>
    <t>320849d7-92ba-4539-81c3-1bcd67764553</t>
  </si>
  <si>
    <t>Sistema circulación cojinete lado carga</t>
  </si>
  <si>
    <t>71a2b54c-1e78-4ded-87a4-80d6a764bd60</t>
  </si>
  <si>
    <t>retornos enchaquetados, dos retornos de cada rodamiento</t>
  </si>
  <si>
    <t>Desiccant Breather - High-Contamination and Vibration</t>
  </si>
  <si>
    <t>3a673ef5-9557-41ca-b1e8-b7ace2332d97</t>
  </si>
  <si>
    <t>Circulating System Reservoir (Oil)</t>
  </si>
  <si>
    <t>Kluber - Kluberoil GEM 1-220 N - 220</t>
  </si>
  <si>
    <t>1 1/4"</t>
  </si>
  <si>
    <t>Desiccant Breather - High-Contaminant</t>
  </si>
  <si>
    <t>847747d0-50b3-40b5-a675-5e40bea5406d</t>
  </si>
  <si>
    <t>Retorno principal tanque lubricación tiene valvula.  Instalar PMP con pitot</t>
  </si>
  <si>
    <t>41cea237-41cb-4102-b975-c2fbb15d0083</t>
  </si>
  <si>
    <t>Sistema circulación soportes piñón y molino lado salida</t>
  </si>
  <si>
    <t>811a1537-1630-49a1-9029-103fb3d7924f</t>
  </si>
  <si>
    <t>8cbb83d8-da2f-4042-8332-fb57fd839d0f</t>
  </si>
  <si>
    <t>391d155b-f8eb-4035-8748-cd556667b021</t>
  </si>
  <si>
    <t>9c225f64-c9da-4573-b0eb-69f74a42e4d1</t>
  </si>
  <si>
    <t>efd4fa0c-1b16-49f4-ad1d-1d87165d61e0</t>
  </si>
  <si>
    <t>Retorno principal tanque lubricación tiene valvula. instalar PMP con pitot
pertos secundarios en retornos de cojinetes soldados y con tubing para retornos de piñones y cojinete molino</t>
  </si>
  <si>
    <t>4f32ac51-af5f-4c9d-b36b-13b9c97e4572</t>
  </si>
  <si>
    <t>Molino F</t>
  </si>
  <si>
    <t>B-2A-3F</t>
  </si>
  <si>
    <t>288e9b20-88e6-449a-b62f-f05bdade2ab6</t>
  </si>
  <si>
    <t>4c792919-2673-4b15-8040-303fe500c7bb</t>
  </si>
  <si>
    <t>c23912a1-db9d-4850-a41b-669598aa3ead</t>
  </si>
  <si>
    <t>5f76f59f-d2e7-4f11-aa09-7c49a04e0131</t>
  </si>
  <si>
    <t>91692903-5235-472a-9bcc-df010aefe45c</t>
  </si>
  <si>
    <t>46fc13d1-5e70-4b3d-8b64-564a7c9df96d</t>
  </si>
  <si>
    <t>8c20b468-6b6c-4672-897b-b536b05b05f4</t>
  </si>
  <si>
    <t>75824c7b-6f38-44ae-8a44-50937c24206d</t>
  </si>
  <si>
    <t>4a8cc6aa-2f65-467b-949a-1be31cfc1229</t>
  </si>
  <si>
    <t>9ff6738f-32c8-4e15-87d1-d334c6d46aff</t>
  </si>
  <si>
    <t>3f980dcb-ed0e-4c6d-835e-e0a5773fd776</t>
  </si>
  <si>
    <t>fa1ef0f9-2970-4d58-949b-ee52a3e1f49c</t>
  </si>
  <si>
    <t>162abacf-83c2-4c10-baf3-f7b4674c9316</t>
  </si>
  <si>
    <t>Soporte molino lado acoplado</t>
  </si>
  <si>
    <t>26918d66-3620-49a1-854d-58fcf0143f03</t>
  </si>
  <si>
    <t>3b40c92a-7c66-4b5c-a6c8-942102f3ea0e</t>
  </si>
  <si>
    <t>f18dcb0f-53fb-4529-bb9c-487b093a7879</t>
  </si>
  <si>
    <t>961c50b8-c7fb-4b38-8934-73538b2efd1e</t>
  </si>
  <si>
    <t>2e199ce5-29c3-4dbf-b22c-98ba73297aa8</t>
  </si>
  <si>
    <t>Digestión|Area 203</t>
  </si>
  <si>
    <t>a0aee0dc-8b13-4261-a451-9ae6a117d0c2</t>
  </si>
  <si>
    <t>Agitador tanque de pulpa 1</t>
  </si>
  <si>
    <t>B-3A-1</t>
  </si>
  <si>
    <t>Agitador</t>
  </si>
  <si>
    <t>Instalar valvula dren</t>
  </si>
  <si>
    <t>Equipped</t>
  </si>
  <si>
    <t>ec212c5c-b046-41ef-b8bd-c08f081246ae</t>
  </si>
  <si>
    <t>Grasera inaccesible, colocar GLE</t>
  </si>
  <si>
    <t>Cylindrical/Needle</t>
  </si>
  <si>
    <t>9c7edc8f-4694-43cf-8285-7c291a0c69be</t>
  </si>
  <si>
    <t>lubricar cada 6 meses. NO USAR GRASA EP</t>
  </si>
  <si>
    <t>815c3c38-3e06-4e51-9b9b-9e68bb48fbe9</t>
  </si>
  <si>
    <t>2ccfaefc-6b26-41c6-97de-fc5f142f061e</t>
  </si>
  <si>
    <t>Agitador tanque de pulpa 2</t>
  </si>
  <si>
    <t>B-3A-2</t>
  </si>
  <si>
    <t>3f3fa544-5ad3-4e4a-9ae0-f88148c7fce7</t>
  </si>
  <si>
    <t>NO USAR GRASA EP</t>
  </si>
  <si>
    <t>dc6768dc-b4bf-4315-a98f-8f6678861f0e</t>
  </si>
  <si>
    <t>e6e18d43-537f-4f81-b918-5dd7046ca95e</t>
  </si>
  <si>
    <t>3d00fbee-56b5-42a2-ab08-7e0f3503359f</t>
  </si>
  <si>
    <t>Agitador tanque de pulpa 3</t>
  </si>
  <si>
    <t>B-3A-3</t>
  </si>
  <si>
    <t>4b4e6a86-dc1a-4474-9957-6048ee765cb6</t>
  </si>
  <si>
    <t>8be0a42b-3b1a-4bb3-a675-10c8cf80f976</t>
  </si>
  <si>
    <t>a81b566e-89c0-422f-9d50-40cc18388ad7</t>
  </si>
  <si>
    <t>44bccae8-590b-4340-97eb-d405c5060a9f</t>
  </si>
  <si>
    <t>Agitador tanque de pulpa 4</t>
  </si>
  <si>
    <t>B-3A-4</t>
  </si>
  <si>
    <t>5b7154f2-9f1e-4c5a-abc2-c50ecdd6ade3</t>
  </si>
  <si>
    <t>5595dcd0-37c2-4e3f-804a-07c2c65acf70</t>
  </si>
  <si>
    <t>6164b629-d067-4a25-b767-feba32ac6886</t>
  </si>
  <si>
    <t>fc8c44a8-82e0-4561-a558-f999fe408f72</t>
  </si>
  <si>
    <t>Digestión|Area 204</t>
  </si>
  <si>
    <t>9847fa1a-3709-40de-ba58-969316524905</t>
  </si>
  <si>
    <t>Bomba de carga 1A</t>
  </si>
  <si>
    <t>P-4A-1A</t>
  </si>
  <si>
    <t>Bomba</t>
  </si>
  <si>
    <t>Not applicable</t>
  </si>
  <si>
    <t>05f88157-c347-461e-9805-47a9fa88799f</t>
  </si>
  <si>
    <t>Pump Bearings (Circulating)</t>
  </si>
  <si>
    <t>Instalar respirador en reservorio de bomba
Todas las bombas incluyen 2 puntos de engrase ¿sellos?</t>
  </si>
  <si>
    <t>ffe51327-aee8-4113-8c34-53eb6a4de4f1</t>
  </si>
  <si>
    <t>Puerto de relleno tipo brida - CANCELAR
Puerto de respiración lado opuesto roscado ee 3/4”
puerto auxiliar roscado de 2”
mitilla de nivel fija
Dren con válvula de 3/4”</t>
  </si>
  <si>
    <t>Chevron - Aries - 100</t>
  </si>
  <si>
    <t>fe3ac44b-b1c3-441b-b6f8-acda332fdf79</t>
  </si>
  <si>
    <t>cuatro lineas de retorno, retornan dos a cada manifold. Dos PMP uno en cada manifold. Codo a Tee
Cada tubería tiene un punto donde puede conectarse un minimess PMS</t>
  </si>
  <si>
    <t>d282d9a6-cc52-4ccb-95d3-6fbbaa949000</t>
  </si>
  <si>
    <t>b40e2af5-b87c-4fc5-afcc-4f781554b0dd</t>
  </si>
  <si>
    <t>8c2a909d-f713-4762-b6cf-7d852f5f6268</t>
  </si>
  <si>
    <t>Bomba de carga 1B</t>
  </si>
  <si>
    <t>P-4A-1B</t>
  </si>
  <si>
    <t>2d10ac65-beff-438f-a6d5-0093cdc615b7</t>
  </si>
  <si>
    <t>86683ab5-99b6-4f70-b12c-08956fd02548</t>
  </si>
  <si>
    <t>2585e226-fd1d-4986-b14e-a5ea0b30dead</t>
  </si>
  <si>
    <t>56e60637-74da-4736-aca0-190e829508d9</t>
  </si>
  <si>
    <t>dc38fad4-2675-4d73-9ce0-5216bfe00c63</t>
  </si>
  <si>
    <t>aaf22542-f56c-4c9c-aa01-3b1e5213827e</t>
  </si>
  <si>
    <t>Bomba de carga 1C</t>
  </si>
  <si>
    <t>P-4A-1C</t>
  </si>
  <si>
    <t>e2d19c30-69d0-4adc-beae-7d9e5d2dab3f</t>
  </si>
  <si>
    <t>231390d2-32f7-47b6-80cb-b1934d1a9c32</t>
  </si>
  <si>
    <t>74067823-400a-4647-8bc5-bf4d44d85058</t>
  </si>
  <si>
    <t>1722053f-4cb9-4229-ba8e-fbd4ff41aa27</t>
  </si>
  <si>
    <t>0d75fee4-11f2-4cda-8b27-3a698e12653a</t>
  </si>
  <si>
    <t>0940e86d-1361-4dc7-b440-131228f679bf</t>
  </si>
  <si>
    <t>Bomba de carga 2A</t>
  </si>
  <si>
    <t>P-4A-2A</t>
  </si>
  <si>
    <t>486f6cd8-2d00-4faa-af9f-f40baf837eae</t>
  </si>
  <si>
    <t>6b702642-10ce-4b38-bcbf-33cb789b9d6b</t>
  </si>
  <si>
    <t>Puerto de relleno tipo brida - CANCELAR
Puerto de respiración lado opuesto roscado ee 3/4”
mitilla de nivel fija
Dren con válvula de 3/4”</t>
  </si>
  <si>
    <t>6cfc7f0a-046b-4039-8e98-d218d834bf4e</t>
  </si>
  <si>
    <t>f7d4dbb5-9790-4faf-aa5c-cb164d7e7762</t>
  </si>
  <si>
    <t>Rodamiento - DE (1)</t>
  </si>
  <si>
    <t>Dos puntos de engrase DE 1 NDE
Purga con varilla</t>
  </si>
  <si>
    <t>b8446cab-3e7c-42df-a464-025c5368ddf5</t>
  </si>
  <si>
    <t>Rodamiento - DE (2)</t>
  </si>
  <si>
    <t>9088dc92-bc61-499e-9e21-b0beb86f1390</t>
  </si>
  <si>
    <t>c879574a-a8c0-48a0-9447-33f85ebb821f</t>
  </si>
  <si>
    <t>Variador mecánico</t>
  </si>
  <si>
    <t>Aceite Telex 32
Puerto de llenado y puerto de respiración separados</t>
  </si>
  <si>
    <t>Concentric</t>
  </si>
  <si>
    <t>2D Sight Glass (Bullseye) but Unreliable</t>
  </si>
  <si>
    <t>c2a49168-04e4-4dac-a39e-bfcc7905f919</t>
  </si>
  <si>
    <t>Bomba de carga 2B</t>
  </si>
  <si>
    <t>P-4A-2B</t>
  </si>
  <si>
    <t>0ba18002-244d-42f9-90e4-ff804e0547c6</t>
  </si>
  <si>
    <t>2e90fa24-ba3b-4930-8f5f-e84fb1a22a6e</t>
  </si>
  <si>
    <t>efd02576-ed96-4447-91a3-c95af33d2492</t>
  </si>
  <si>
    <t>aa3063d6-76c5-4230-8037-595498b5ed8d</t>
  </si>
  <si>
    <t>dd850515-850e-4202-ab59-dfc3ba801c7d</t>
  </si>
  <si>
    <t>ce8c1a98-34be-447d-b54e-bca0f7d7e68b</t>
  </si>
  <si>
    <t>eee3ef98-d82d-4817-93cd-85a6d5f511a5</t>
  </si>
  <si>
    <t>d6eb95bd-0eab-40d0-8d92-efa69b7cb515</t>
  </si>
  <si>
    <t>Bomba de carga 2C</t>
  </si>
  <si>
    <t>P-4A-2C</t>
  </si>
  <si>
    <t>0c62627b-8e45-4aba-b22a-3dc120ad136f</t>
  </si>
  <si>
    <t>224048d8-9cc0-4c9e-a191-ac60632a723b</t>
  </si>
  <si>
    <t>a12102c1-c2e2-49b9-be7b-6a30d0b4c69a</t>
  </si>
  <si>
    <t>c7a851ab-d60c-4cbb-a7a5-33714f9dd7ec</t>
  </si>
  <si>
    <t>4b176b40-5c0e-4119-8b67-acf472820583</t>
  </si>
  <si>
    <t>fac723ab-1d26-4c47-9f7d-ec63f49c2de2</t>
  </si>
  <si>
    <t>73ca4cff-26b5-4759-a7ef-c3bf643775fa</t>
  </si>
  <si>
    <t>Aceite Telex 32
Puerto de llenado y puerto de respiración separados
¿Muestreo en sistema de circulación y enfriamiento CODO A TEE?</t>
  </si>
  <si>
    <t>f9c3e02b-57f6-4dd8-978d-bf3dd1e66954</t>
  </si>
  <si>
    <t>Bomba de carga 3A</t>
  </si>
  <si>
    <t>P-4A-3A</t>
  </si>
  <si>
    <t>84132e8b-aeb7-4d78-b6d8-9aacd06d9e24</t>
  </si>
  <si>
    <t>ff2bbb0a-fb74-4e8c-8340-88d0302dedd0</t>
  </si>
  <si>
    <t>1282df1d-e63f-435e-85d1-193b767e8ac5</t>
  </si>
  <si>
    <t>a76de884-717e-4dfb-a863-381eccc9f769</t>
  </si>
  <si>
    <t>04edf341-1c6c-454d-b8b9-5a5e847685fc</t>
  </si>
  <si>
    <t>22c964d3-ddc6-479a-972c-c552549274ab</t>
  </si>
  <si>
    <t>eb819fc8-32a7-4b41-bf49-54f4eb4194c3</t>
  </si>
  <si>
    <t>cbc28435-cd01-40a5-8655-38104445b9c9</t>
  </si>
  <si>
    <t>Bomba de carga 3B</t>
  </si>
  <si>
    <t>P-4A-3B</t>
  </si>
  <si>
    <t>56779cb9-7c49-4312-8737-6136225025bf</t>
  </si>
  <si>
    <t>8bbb8cae-ae89-4f45-861a-2cd680f23679</t>
  </si>
  <si>
    <t>cbc0c947-2a0a-44bc-af39-80ca9784319e</t>
  </si>
  <si>
    <t>20952886-b35b-462d-a066-e3ea4e799236</t>
  </si>
  <si>
    <t>2d11480f-78b0-44ed-bdf1-58b1911dafa6</t>
  </si>
  <si>
    <t>c16177eb-4cfe-48af-8942-f09d85e1746c</t>
  </si>
  <si>
    <t>8a9aebc3-0243-48e5-a1a1-ef97f6c98ba7</t>
  </si>
  <si>
    <t>97112500-5274-4bc7-87bb-6575deab4d43</t>
  </si>
  <si>
    <t>Bomba de carga 3C</t>
  </si>
  <si>
    <t>P-4A-3C</t>
  </si>
  <si>
    <t>8152f1c0-7856-4756-8209-335ad3388732</t>
  </si>
  <si>
    <t>c9bf8813-25ab-4242-abc5-50353f06885d</t>
  </si>
  <si>
    <t>eaf5778a-ae9f-49b3-b8dd-3344e1c073e4</t>
  </si>
  <si>
    <t>642be24d-eb39-47a1-83ee-014d383cf1db</t>
  </si>
  <si>
    <t>142ac3ee-99d4-4f39-9ae5-a27e33f96ab2</t>
  </si>
  <si>
    <t>429664f0-1d1f-487a-a4b7-e3a98886ddda</t>
  </si>
  <si>
    <t>7cbe8154-3b88-470d-9846-a0d9fdf5fc23</t>
  </si>
  <si>
    <t>Aceite Telex 32
solo tiene respirador sin puerto de llenado adicional requiere adaptador roscado
¿Muestreo en sistema de circulación y enfriamiento CODO A TEE?</t>
  </si>
  <si>
    <t>0a91f354-3afe-4d0a-a3c4-6e941623eeec</t>
  </si>
  <si>
    <t>Bomba de carga 4A</t>
  </si>
  <si>
    <t>P-4A-4A</t>
  </si>
  <si>
    <t>6472526c-1262-40d7-abf1-312dc54a763a</t>
  </si>
  <si>
    <t>a3f1b055-6ba6-486b-bc9b-a5cb0fabcb08</t>
  </si>
  <si>
    <t>c33106e9-80c4-4c37-b00b-2a52085f46ed</t>
  </si>
  <si>
    <t>Una linea de retorno. Un PMP y uno antes de conectar con linea principal de cada tubería</t>
  </si>
  <si>
    <t>caff6da4-f1c9-4e80-b920-b8fc81531775</t>
  </si>
  <si>
    <t>277f20b2-f026-4543-816e-67143eabfe70</t>
  </si>
  <si>
    <t>e9204f26-b4ba-42c4-a532-0320c9a34319</t>
  </si>
  <si>
    <t>8bb20f25-08b8-4168-ab9f-05a99f3a6f19</t>
  </si>
  <si>
    <t>125d63de-361a-40de-8ceb-65515de66a6f</t>
  </si>
  <si>
    <t>Bomba de carga 4B</t>
  </si>
  <si>
    <t>P-4A-4B</t>
  </si>
  <si>
    <t>639ca0e9-ed9c-4c9c-b6fc-b5567bd1748b</t>
  </si>
  <si>
    <t>35d93d33-5beb-440a-9a6f-4bba893b3efb</t>
  </si>
  <si>
    <t>f2760cef-c5ba-477c-a57b-643192f38467</t>
  </si>
  <si>
    <t>ff8ddd74-575c-4481-9871-989a1a5be467</t>
  </si>
  <si>
    <t>ba4cfcd4-993d-411b-aeb9-09c02e15d505</t>
  </si>
  <si>
    <t>2fb9cf13-b1da-4c5c-b30b-d61ac646a31a</t>
  </si>
  <si>
    <t>49f6e803-92ec-4876-85ec-3fa3bd0c61e2</t>
  </si>
  <si>
    <t>706572c5-70b5-4a1d-8b75-9e6f0b18acf0</t>
  </si>
  <si>
    <t>Bomba de carga 4C</t>
  </si>
  <si>
    <t>P-4A-4C</t>
  </si>
  <si>
    <t>dc241cd3-3415-4cd2-a8c0-1e49d3252f41</t>
  </si>
  <si>
    <t>8e6ffb7b-0abe-4f11-bc16-3da1931f0613</t>
  </si>
  <si>
    <t>120ec1a8-2e2c-4a4d-a3c6-77c0989fa98c</t>
  </si>
  <si>
    <t>0e8d3e2f-1104-4361-95fa-677fd1c7744b</t>
  </si>
  <si>
    <t>c197bb65-8ed6-4f74-919b-ce6cf6c6ef57</t>
  </si>
  <si>
    <t>67b10df9-c2f1-4831-bd90-820b114d5110</t>
  </si>
  <si>
    <t>d4a56def-15f5-461f-b7c1-5a8b0b99ad3f</t>
  </si>
  <si>
    <t>a37adc27-8b3e-4638-8f99-a4e360ca4b35</t>
  </si>
  <si>
    <t>Bomba de carga 5A</t>
  </si>
  <si>
    <t>P-4A-5A</t>
  </si>
  <si>
    <t>abdabe17-2e3a-446b-b60a-c7199743b239</t>
  </si>
  <si>
    <t>ab9aa293-a739-490b-80a5-3c898c7dd569</t>
  </si>
  <si>
    <t>1e4b23d8-6fad-49cb-ad67-b0e81a9f62bc</t>
  </si>
  <si>
    <t>812d64cd-3b3e-4cf9-9856-930584dcdb52</t>
  </si>
  <si>
    <t>e63f4467-275e-41a5-a1bc-3de1e65cd244</t>
  </si>
  <si>
    <t>6ed5263b-891a-447c-8ac6-7c8726ae836b</t>
  </si>
  <si>
    <t>ced11dc6-c4b6-431e-9221-8db8f04b9655</t>
  </si>
  <si>
    <t>62162f99-9ab1-4af1-ad17-d5d659067516</t>
  </si>
  <si>
    <t>Bomba de carga 5B</t>
  </si>
  <si>
    <t>P-4A-5B</t>
  </si>
  <si>
    <t>c0f4fbbd-38f4-49d9-ae17-d491a559c21a</t>
  </si>
  <si>
    <t>fed45cac-fa8a-400a-bb1b-ff47abd69b8b</t>
  </si>
  <si>
    <t>2ea3d242-425f-457c-b6fe-5e02a318034a</t>
  </si>
  <si>
    <t>d13308ff-34cf-46f9-95f2-1e37d7022e34</t>
  </si>
  <si>
    <t>73f17921-80a9-40e2-8900-ae0e3b8909e4</t>
  </si>
  <si>
    <t>d3fb8991-0a42-4c2c-a143-3d3e9fae3bdb</t>
  </si>
  <si>
    <t>76f48ca6-a571-4b7c-a22f-1f2a74363dcd</t>
  </si>
  <si>
    <t>015cdb8e-b1fb-4882-bde5-eaa0f4783273</t>
  </si>
  <si>
    <t>Bomba de carga 5C</t>
  </si>
  <si>
    <t>P-4A-5C</t>
  </si>
  <si>
    <t>9fc24e77-980c-4914-8554-87796e22fffa</t>
  </si>
  <si>
    <t>3e8c4671-1484-455c-8281-20c602f24788</t>
  </si>
  <si>
    <t>e2088ae1-8d8e-4c3e-87d2-bac21c4104c1</t>
  </si>
  <si>
    <t>5731efcf-47c5-4472-ba4f-549c79a4a4d9</t>
  </si>
  <si>
    <t>b9d2ffd0-fc86-4c0d-8ff2-df47869b82ad</t>
  </si>
  <si>
    <t>8d18b3ee-8157-4f0b-91e7-6fca73a40815</t>
  </si>
  <si>
    <t>85cc496a-5d81-4291-b931-966053ac1d0d</t>
  </si>
  <si>
    <t>1f79cf1e-2128-4ee2-b271-6f3986747fc7</t>
  </si>
  <si>
    <t>Digestión|Area 279</t>
  </si>
  <si>
    <t>b0b44c40-aaea-4aa7-86e3-a82957236868</t>
  </si>
  <si>
    <t>B-79A-02</t>
  </si>
  <si>
    <t>40ade7c1-e6a5-47f4-8243-5780945dd83b</t>
  </si>
  <si>
    <t>Outside (Covered)</t>
  </si>
  <si>
    <t>Occasional Washdowns</t>
  </si>
  <si>
    <t>Vent Plug</t>
  </si>
  <si>
    <t>5e39a10a-fc9b-4639-95e6-7e8ac6eafa4a</t>
  </si>
  <si>
    <t>Agitador tanque 1</t>
  </si>
  <si>
    <t>B-79A-01</t>
  </si>
  <si>
    <t>5e27d635-997d-4ec2-a17e-b0dac91fa552</t>
  </si>
  <si>
    <t>3/8"</t>
  </si>
  <si>
    <t>e19e97d4-bf00-4bd3-823d-8fec1a60fcd0</t>
  </si>
  <si>
    <t>Agitador tanque 11</t>
  </si>
  <si>
    <t>B-79A-68</t>
  </si>
  <si>
    <t>6a808328-c8a6-4e83-bc72-503f6982123e</t>
  </si>
  <si>
    <t>el puerto de llenado y respiración debe llevar respirador bridado pero esta tapafo con una placa no hermética. instalar adaptador hidráulico y camara de expansión o respirador hibrido</t>
  </si>
  <si>
    <t>eae2f851-e4b9-4b85-9df1-fcb9d1190e72</t>
  </si>
  <si>
    <t>Agitador tanque 4</t>
  </si>
  <si>
    <t>B-79A-03</t>
  </si>
  <si>
    <t>6ed3850a-8da7-47d2-9aa9-bdacafa08b82</t>
  </si>
  <si>
    <t>b0afc542-0127-4099-89e6-4c7966450704</t>
  </si>
  <si>
    <t>Agitador tanque 5</t>
  </si>
  <si>
    <t>B-79A-90</t>
  </si>
  <si>
    <t>d84e00bc-5c80-466b-bc9f-b8fc30c00a53</t>
  </si>
  <si>
    <t>Reductor inaccesible (escalera de gato). Datos pendientes.</t>
  </si>
  <si>
    <t>a52ef89b-2e87-4a46-991d-8f81ab9eb847</t>
  </si>
  <si>
    <t>Alveolar 23</t>
  </si>
  <si>
    <t>B-79A-23</t>
  </si>
  <si>
    <t>16e0b400-0857-42b6-abaf-77577a7477cd</t>
  </si>
  <si>
    <t>300 to 1000 RPM</t>
  </si>
  <si>
    <t>bb5ad210-b29a-4ca0-b9fd-3fba17e70d4f</t>
  </si>
  <si>
    <t>Soportes compuerta</t>
  </si>
  <si>
    <t>513 (2213K)</t>
  </si>
  <si>
    <t>6e04f558-286c-45df-a410-0f65ddbfae14</t>
  </si>
  <si>
    <t>Alveolar 24</t>
  </si>
  <si>
    <t>B-79A-24</t>
  </si>
  <si>
    <t>e63c29c0-6031-4c07-939e-84cf2284b3f8</t>
  </si>
  <si>
    <t>efc652cc-51cf-4ae8-82f6-5386f10abb8a</t>
  </si>
  <si>
    <t>a7b32fc8-1965-463f-9a90-1f55ee876240</t>
  </si>
  <si>
    <t>Alveolar 9</t>
  </si>
  <si>
    <t>B-79A-91</t>
  </si>
  <si>
    <t>2563080c-0d97-428b-9256-1dd99baa96dd</t>
  </si>
  <si>
    <t>bfca5e1d-9976-4a1d-9af5-1ae37988bf39</t>
  </si>
  <si>
    <t>b6e334b7-5272-444a-abcd-dcdb08960de4</t>
  </si>
  <si>
    <t>507 (2207K)</t>
  </si>
  <si>
    <t>137054d0-0d4b-45da-8b27-defebe5c3deb</t>
  </si>
  <si>
    <t>Alveolar enfriador</t>
  </si>
  <si>
    <t>B-79A-37</t>
  </si>
  <si>
    <t>8743424f-5a70-4144-9200-87e044899c0b</t>
  </si>
  <si>
    <t>532a3ebd-5d4a-4d97-ab1f-debf2e2a7742</t>
  </si>
  <si>
    <t>dea65bde-ad04-446a-a0a1-609e44662908</t>
  </si>
  <si>
    <t>Brazo enfriador</t>
  </si>
  <si>
    <t>B-79A-35</t>
  </si>
  <si>
    <t>Buje del brazo</t>
  </si>
  <si>
    <t>3135f196-b54a-4de5-8f27-6996f17edc6d</t>
  </si>
  <si>
    <t>Cojinetes deslizamiento del brazo (cilindro)</t>
  </si>
  <si>
    <t>8edee181-4d1e-48e8-aebc-ab383801ce3c</t>
  </si>
  <si>
    <t>Excéntrico del brazo</t>
  </si>
  <si>
    <t>696e7ba4-99a6-4099-ba46-5a33bb1ab86d</t>
  </si>
  <si>
    <t>33601c51-f002-494f-81cf-2317fc32846b</t>
  </si>
  <si>
    <t>Reductor accionamiento brazo</t>
  </si>
  <si>
    <t>62514c5a-bd57-4549-82ed-69211fc5005c</t>
  </si>
  <si>
    <t>Soportes brazo</t>
  </si>
  <si>
    <t>026a469f-e48d-4496-aa46-b35a895fc2fb</t>
  </si>
  <si>
    <t>2c530299-79ea-4095-8862-3b073f3d8307</t>
  </si>
  <si>
    <t>Cadena enfriador</t>
  </si>
  <si>
    <t>C-79A-04</t>
  </si>
  <si>
    <t>a75325f9-b62c-408f-8ece-0d1301a6fab6</t>
  </si>
  <si>
    <t>3217809c-3664-4270-abe3-db2205c623eb</t>
  </si>
  <si>
    <t>Soportes cabeza externos</t>
  </si>
  <si>
    <t>511 (2211k)</t>
  </si>
  <si>
    <t>a9b24894-b593-436b-8c4a-ad30248f9ab0</t>
  </si>
  <si>
    <t>Soportes cabeza internos</t>
  </si>
  <si>
    <t>925d20cf-48de-4b18-b72d-42e5afa31d51</t>
  </si>
  <si>
    <t>Soportes cola</t>
  </si>
  <si>
    <t>4d835f8c-44ea-4dc0-bc4b-728ed60b4a6e</t>
  </si>
  <si>
    <t>Cadena filtros de mangas 01</t>
  </si>
  <si>
    <t>C-79A-01</t>
  </si>
  <si>
    <t>dac918b6-48c9-4be2-883a-b8551180a31c</t>
  </si>
  <si>
    <t>1ab96c34-4989-4fb4-9366-8cf482f6cb02</t>
  </si>
  <si>
    <t>Soportes cabeza</t>
  </si>
  <si>
    <t>e91158f2-5afd-4b46-828b-c505d9e4069b</t>
  </si>
  <si>
    <t>510 (2210)</t>
  </si>
  <si>
    <t>ee911bff-c9ac-4b5a-a813-ba9017ec834e</t>
  </si>
  <si>
    <t>Cadena filtros de mangas 02</t>
  </si>
  <si>
    <t>C-79A-02</t>
  </si>
  <si>
    <t>f89a686e-aaa9-474b-be4e-efc9fd866eee</t>
  </si>
  <si>
    <t>3a5e4583-631e-4331-b2b7-e0c4197e12f6</t>
  </si>
  <si>
    <t>eeafb836-d3a6-47e9-9248-10ed5f26afc1</t>
  </si>
  <si>
    <t>e90eb335-2e6a-43b1-aeb5-1300fd1c9ac7</t>
  </si>
  <si>
    <t>Sistema de engrase brazo enfriador</t>
  </si>
  <si>
    <t>B-79A-36</t>
  </si>
  <si>
    <t>Sistema de engrase brazo</t>
  </si>
  <si>
    <t>Se rellena con espátula. Sugerir QC para relleno con bomba</t>
  </si>
  <si>
    <t>oz</t>
  </si>
  <si>
    <t>Open (no Fitting)</t>
  </si>
  <si>
    <t>12853231-4526-45d5-9b8d-b9e267f7355f</t>
  </si>
  <si>
    <t>Soplante 02</t>
  </si>
  <si>
    <t>F79A-02</t>
  </si>
  <si>
    <t>a2823657-5349-4a5d-bc72-1d50942de108</t>
  </si>
  <si>
    <t>f4244aec-6c0d-4df4-8e7a-681d32adcd7d</t>
  </si>
  <si>
    <t>Soplante</t>
  </si>
  <si>
    <t>Engranaje - DE</t>
  </si>
  <si>
    <t>Medium</t>
  </si>
  <si>
    <t>0024c44b-92cf-4b94-8889-c5c3e294eb58</t>
  </si>
  <si>
    <t>Engranaje - NDE</t>
  </si>
  <si>
    <t>45bc8b21-08f1-47d8-b194-44b9ac91ec25</t>
  </si>
  <si>
    <t>Soplante 04</t>
  </si>
  <si>
    <t>F-79A-04</t>
  </si>
  <si>
    <t>64fb8c35-c169-437c-8140-281693cfde43</t>
  </si>
  <si>
    <t>c76bc32b-f8ac-4dfc-b097-60e8b94c86fe</t>
  </si>
  <si>
    <t>357b7d6b-c291-405d-8f33-2d97fa8ab72f</t>
  </si>
  <si>
    <t>Soplante 06</t>
  </si>
  <si>
    <t>F-79A-06</t>
  </si>
  <si>
    <t>ca017a23-a104-4519-998e-1dcb52f264e9</t>
  </si>
  <si>
    <t>2f63d0e8-e9e7-4ec7-af99-f83ec881b29e</t>
  </si>
  <si>
    <t>ffed0309-0b4b-48d7-b0b7-beb52a7e66cb</t>
  </si>
  <si>
    <t>Soplante 08</t>
  </si>
  <si>
    <t>F-79A-08</t>
  </si>
  <si>
    <t>a492f575-97a1-4c01-a021-2fd43325aabb</t>
  </si>
  <si>
    <t>06611496-bfaf-4292-8a40-038e236173df</t>
  </si>
  <si>
    <t>36a771ba-e227-4d35-b48d-a8edd667008a</t>
  </si>
  <si>
    <t>Soplante 10</t>
  </si>
  <si>
    <t>F-79A-10</t>
  </si>
  <si>
    <t>f98fd481-9e44-42e0-8579-54dcf01e6569</t>
  </si>
  <si>
    <t>8d692126-61fd-4123-811b-629d9ab8a47d</t>
  </si>
  <si>
    <t>e2088112-22c3-436e-8a0a-dad83c33068f</t>
  </si>
  <si>
    <t>287c9f00-9837-4979-89f1-32a8590a1458</t>
  </si>
  <si>
    <t>Soplante principal</t>
  </si>
  <si>
    <t>F-79A-03</t>
  </si>
  <si>
    <t>32e1dec8-3e94-4c0c-aa93-23db2e533636</t>
  </si>
  <si>
    <t>e709e087-ab8e-4884-a6fa-f02612ca9dc6</t>
  </si>
  <si>
    <t>Cojinete</t>
  </si>
  <si>
    <t>Constant Level Oiler w/ sight glass</t>
  </si>
  <si>
    <t>727046ae-c1b0-4e31-90dd-b47d05781676</t>
  </si>
  <si>
    <t>Tornillo sinfín 03</t>
  </si>
  <si>
    <t>C-79A-03</t>
  </si>
  <si>
    <t>106a56e5-8e4d-4566-aeb2-971c4331bca3</t>
  </si>
  <si>
    <t>1/4"</t>
  </si>
  <si>
    <t>f4e67f8e-14a8-4c1d-bd67-7e47b060decc</t>
  </si>
  <si>
    <t>Soportes sinfín</t>
  </si>
  <si>
    <t>b62094a3-f7dd-40f9-b101-e7e8370a6a78</t>
  </si>
  <si>
    <t>a3146d48-0858-4e2c-a2ef-89011c074d8e</t>
  </si>
  <si>
    <t>Tornillo sinfín enfriador</t>
  </si>
  <si>
    <t>C-79A-05</t>
  </si>
  <si>
    <t>f717e8c6-d662-45ab-8852-300585fa80cc</t>
  </si>
  <si>
    <t>319fd537-f627-49ad-bd56-1dc8c09144ab</t>
  </si>
  <si>
    <t>93657835-4654-4d08-8eb6-3a2823ec89b4</t>
  </si>
  <si>
    <t>0159cc9f-fb78-45b8-bbca-d914ee791915</t>
  </si>
  <si>
    <t>Tornillo sinfín filtros pulpa</t>
  </si>
  <si>
    <t>C-79A-06</t>
  </si>
  <si>
    <t>c1a3561b-eb7d-40e0-971f-7061acb4dc84</t>
  </si>
  <si>
    <t>9211d615-e29d-4d1d-9ebf-737aa18acdd1</t>
  </si>
  <si>
    <t>6fd324be-aa1a-4e32-b300-0ff974864a32</t>
  </si>
  <si>
    <t>c1dca09b-1d1d-4624-a908-9a53e8fbef0b</t>
  </si>
  <si>
    <t>Filtración|Area 205</t>
  </si>
  <si>
    <t>94336c84-e593-4064-ba4d-cf0968a67609</t>
  </si>
  <si>
    <t>Bomba de lavado contracorriente 1A</t>
  </si>
  <si>
    <t>P-05A-01A</t>
  </si>
  <si>
    <t>Pump (Oil)</t>
  </si>
  <si>
    <t>Bomba - DE</t>
  </si>
  <si>
    <t>Other Severe Water Contact</t>
  </si>
  <si>
    <t>Repsol - Maker Telex E68 - 68</t>
  </si>
  <si>
    <t>5ec31566-e2fb-4b98-9307-74231801ab82</t>
  </si>
  <si>
    <t>Bomba - NDE</t>
  </si>
  <si>
    <t>75b88488-e89c-4ba5-bdb5-c588bbae9965</t>
  </si>
  <si>
    <t>8e9256a4-50b4-4719-b9aa-93f5e46e1df7</t>
  </si>
  <si>
    <t>6cee0b0d-5681-465b-8d94-f9df29462f54</t>
  </si>
  <si>
    <t>Bomba de lavado contracorriente 1B</t>
  </si>
  <si>
    <t>P-05A-01B</t>
  </si>
  <si>
    <t>cc8d4774-d296-4204-85f9-b752d35a67cc</t>
  </si>
  <si>
    <t>80a54f65-2475-48b0-bfff-1a33a2d2445c</t>
  </si>
  <si>
    <t>dd7680b3-f9bf-4b14-a23f-728809185c8c</t>
  </si>
  <si>
    <t>Gearbox (Circulating)</t>
  </si>
  <si>
    <t>Filtración|Area 234</t>
  </si>
  <si>
    <t>f6c548ba-ae8a-4739-862b-792384cdbb74</t>
  </si>
  <si>
    <t>05c4e857-6cef-4bec-a914-aa260299e7b2</t>
  </si>
  <si>
    <t>Bomba de barro 04</t>
  </si>
  <si>
    <t>P-34A-27</t>
  </si>
  <si>
    <t>Bomba reciprocante GEHO</t>
  </si>
  <si>
    <t>Vapor|Area 214</t>
  </si>
  <si>
    <t>5404648b-3b26-42e4-9de9-edf489935070</t>
  </si>
  <si>
    <t>Nearby Steam/Spray</t>
  </si>
  <si>
    <t>Motobomba P-14A-3B</t>
  </si>
  <si>
    <t>P-14A-3B</t>
  </si>
  <si>
    <t>d68ed336-872e-4162-8419-d2bf0df0c3f7</t>
  </si>
  <si>
    <t>Incrementador</t>
  </si>
  <si>
    <t>Motobomba P-14A-3C</t>
  </si>
  <si>
    <t>P-14A-3C</t>
  </si>
  <si>
    <t>ba725fc1-67bf-456b-89f1-6c6d2250b3a3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</si>
</sst>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4A4A4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2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0" fillId="10" borderId="0" xfId="0" applyFill="1"/>
    <xf numFmtId="0" fontId="0" fillId="10" borderId="0" xfId="0" quotePrefix="1" applyFill="1"/>
    <xf numFmtId="0" fontId="1" fillId="0" borderId="0" xfId="0" applyFont="1"/>
    <xf numFmtId="16" fontId="0" fillId="10" borderId="0" xfId="0" applyNumberFormat="1" applyFill="1"/>
    <xf numFmtId="16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556E-EAC4-4802-8185-99F112EDAA00}">
  <sheetPr filterMode="1">
    <tabColor theme="8"/>
  </sheetPr>
  <dimension ref="A1:ED448"/>
  <sheetViews>
    <sheetView tabSelected="1" topLeftCell="T1" workbookViewId="0">
      <pane ySplit="1" topLeftCell="A446" activePane="bottomLeft" state="frozenSplit"/>
      <selection sqref="A1:B1"/>
      <selection pane="bottomLeft" activeCell="P455" sqref="P455"/>
    </sheetView>
  </sheetViews>
  <sheetFormatPr defaultColWidth="9.140625" defaultRowHeight="15" x14ac:dyDescent="0.25"/>
  <cols>
    <col min="1" max="1" width="44.42578125" customWidth="1"/>
    <col min="2" max="2" width="19.42578125" customWidth="1"/>
    <col min="3" max="3" width="44" hidden="1" customWidth="1"/>
    <col min="4" max="4" width="34.7109375" customWidth="1"/>
    <col min="5" max="5" width="14.5703125" customWidth="1"/>
    <col min="6" max="6" width="36" customWidth="1"/>
    <col min="7" max="7" width="17" customWidth="1"/>
    <col min="8" max="8" width="21.5703125" customWidth="1"/>
    <col min="9" max="9" width="34.28515625" customWidth="1"/>
    <col min="10" max="10" width="14.42578125" customWidth="1"/>
    <col min="11" max="11" width="20.7109375" customWidth="1"/>
    <col min="12" max="12" width="11.5703125" hidden="1" customWidth="1"/>
    <col min="13" max="13" width="12.85546875" hidden="1" customWidth="1"/>
    <col min="14" max="14" width="20.7109375" hidden="1" customWidth="1"/>
    <col min="15" max="15" width="17.28515625" hidden="1" customWidth="1"/>
    <col min="16" max="16" width="17.140625" customWidth="1"/>
    <col min="17" max="17" width="17.7109375" customWidth="1"/>
    <col min="18" max="18" width="10.140625" customWidth="1"/>
    <col min="19" max="19" width="7.85546875" customWidth="1"/>
    <col min="20" max="20" width="19.42578125" customWidth="1"/>
    <col min="21" max="21" width="9.85546875" customWidth="1"/>
    <col min="22" max="22" width="8.140625" customWidth="1"/>
    <col min="23" max="23" width="19.5703125" hidden="1" customWidth="1"/>
    <col min="24" max="24" width="11" customWidth="1"/>
    <col min="25" max="25" width="7.42578125" customWidth="1"/>
    <col min="26" max="26" width="9.28515625" customWidth="1"/>
    <col min="27" max="27" width="12.7109375" customWidth="1"/>
    <col min="28" max="28" width="11.5703125" customWidth="1"/>
    <col min="29" max="29" width="7.140625" customWidth="1"/>
    <col min="30" max="30" width="8.5703125" customWidth="1"/>
    <col min="31" max="31" width="31.42578125" customWidth="1"/>
    <col min="32" max="32" width="13.85546875" customWidth="1"/>
    <col min="33" max="34" width="8.85546875" customWidth="1"/>
    <col min="35" max="35" width="9.28515625" customWidth="1"/>
    <col min="36" max="36" width="30.5703125" customWidth="1"/>
    <col min="37" max="37" width="40.28515625" customWidth="1"/>
    <col min="38" max="38" width="10.28515625" customWidth="1"/>
    <col min="39" max="39" width="13.140625" customWidth="1"/>
    <col min="40" max="40" width="14.140625" customWidth="1"/>
    <col min="41" max="41" width="11.28515625" customWidth="1"/>
    <col min="42" max="42" width="10" customWidth="1"/>
    <col min="43" max="43" width="14.42578125" customWidth="1"/>
    <col min="44" max="44" width="14.28515625" customWidth="1"/>
    <col min="45" max="45" width="11.140625" customWidth="1"/>
    <col min="46" max="46" width="12.85546875" customWidth="1"/>
    <col min="47" max="47" width="10.85546875" customWidth="1"/>
    <col min="48" max="48" width="12.42578125" customWidth="1"/>
    <col min="49" max="49" width="11.42578125" customWidth="1"/>
    <col min="50" max="50" width="13" customWidth="1"/>
    <col min="51" max="51" width="16.42578125" customWidth="1"/>
    <col min="52" max="52" width="18" customWidth="1"/>
    <col min="53" max="53" width="20.7109375" customWidth="1"/>
    <col min="54" max="54" width="22.28515625" customWidth="1"/>
    <col min="55" max="55" width="26.7109375" customWidth="1"/>
    <col min="56" max="56" width="18.85546875" customWidth="1"/>
    <col min="57" max="57" width="17.7109375" customWidth="1"/>
    <col min="58" max="58" width="18.42578125" customWidth="1"/>
    <col min="59" max="59" width="25.42578125" customWidth="1"/>
    <col min="60" max="60" width="18.85546875" customWidth="1"/>
    <col min="61" max="61" width="19.5703125" customWidth="1"/>
    <col min="62" max="62" width="24.28515625" customWidth="1"/>
    <col min="63" max="63" width="32.42578125" customWidth="1"/>
    <col min="64" max="64" width="26.42578125" customWidth="1"/>
    <col min="65" max="65" width="34.85546875" customWidth="1"/>
    <col min="66" max="66" width="22.5703125" customWidth="1"/>
    <col min="67" max="67" width="36.42578125" customWidth="1"/>
    <col min="68" max="68" width="24.7109375" customWidth="1"/>
    <col min="69" max="69" width="39.5703125" customWidth="1"/>
    <col min="70" max="70" width="36.85546875" customWidth="1"/>
    <col min="71" max="71" width="45.140625" customWidth="1"/>
    <col min="72" max="72" width="40.42578125" customWidth="1"/>
    <col min="73" max="73" width="42.42578125" customWidth="1"/>
    <col min="74" max="74" width="47.140625" customWidth="1"/>
    <col min="75" max="75" width="27.140625" customWidth="1"/>
    <col min="76" max="76" width="37" customWidth="1"/>
    <col min="77" max="77" width="28.28515625" customWidth="1"/>
    <col min="78" max="78" width="43.140625" customWidth="1"/>
    <col min="79" max="79" width="28.85546875" customWidth="1"/>
    <col min="80" max="80" width="43.7109375" customWidth="1"/>
    <col min="81" max="81" width="42.140625" customWidth="1"/>
    <col min="82" max="82" width="41.140625" customWidth="1"/>
    <col min="83" max="83" width="42.85546875" customWidth="1"/>
    <col min="84" max="84" width="27.140625" customWidth="1"/>
    <col min="85" max="85" width="25.28515625" customWidth="1"/>
    <col min="86" max="86" width="19.28515625" customWidth="1"/>
    <col min="87" max="87" width="20.7109375" customWidth="1"/>
    <col min="88" max="88" width="24" customWidth="1"/>
    <col min="89" max="89" width="18.85546875" customWidth="1"/>
    <col min="90" max="90" width="24.42578125" customWidth="1"/>
    <col min="91" max="91" width="29.5703125" customWidth="1"/>
    <col min="92" max="92" width="31.140625" customWidth="1"/>
    <col min="93" max="93" width="15.140625" customWidth="1"/>
    <col min="94" max="94" width="14.42578125" customWidth="1"/>
    <col min="95" max="95" width="16.140625" customWidth="1"/>
    <col min="96" max="96" width="29.140625" customWidth="1"/>
    <col min="97" max="97" width="33.28515625" customWidth="1"/>
    <col min="98" max="98" width="27" customWidth="1"/>
    <col min="99" max="99" width="33.42578125" customWidth="1"/>
    <col min="100" max="100" width="30.28515625" customWidth="1"/>
    <col min="101" max="101" width="40.28515625" customWidth="1"/>
    <col min="102" max="102" width="22.5703125" customWidth="1"/>
    <col min="103" max="103" width="28.7109375" customWidth="1"/>
    <col min="104" max="104" width="14.28515625" customWidth="1"/>
    <col min="105" max="105" width="46.42578125" customWidth="1"/>
    <col min="106" max="106" width="38" customWidth="1"/>
    <col min="107" max="107" width="36.5703125" customWidth="1"/>
    <col min="108" max="108" width="56.28515625" customWidth="1"/>
    <col min="109" max="109" width="41.7109375" customWidth="1"/>
    <col min="110" max="110" width="37.85546875" customWidth="1"/>
    <col min="111" max="111" width="46.28515625" customWidth="1"/>
    <col min="112" max="112" width="45.7109375" customWidth="1"/>
    <col min="113" max="113" width="37.7109375" customWidth="1"/>
    <col min="114" max="114" width="34.5703125" customWidth="1"/>
    <col min="115" max="115" width="35.85546875" customWidth="1"/>
    <col min="116" max="116" width="36.28515625" customWidth="1"/>
    <col min="117" max="117" width="33.28515625" customWidth="1"/>
    <col min="118" max="118" width="25.140625" customWidth="1"/>
    <col min="119" max="119" width="27.140625" customWidth="1"/>
    <col min="120" max="120" width="26.85546875" customWidth="1"/>
    <col min="121" max="121" width="11.85546875" bestFit="1" customWidth="1"/>
    <col min="122" max="127" width="3.85546875" customWidth="1"/>
    <col min="128" max="128" width="11.85546875" bestFit="1" customWidth="1"/>
  </cols>
  <sheetData>
    <row r="1" spans="1:134" s="11" customFormat="1" ht="59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9" t="s">
        <v>101</v>
      </c>
      <c r="CY1" s="9" t="s">
        <v>102</v>
      </c>
      <c r="CZ1" s="9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t="s">
        <v>120</v>
      </c>
      <c r="DR1" s="6" t="s">
        <v>30</v>
      </c>
      <c r="DS1" s="6" t="s">
        <v>31</v>
      </c>
      <c r="DT1" s="6" t="s">
        <v>33</v>
      </c>
      <c r="DU1" s="6" t="s">
        <v>36</v>
      </c>
      <c r="DV1" s="6" t="s">
        <v>121</v>
      </c>
      <c r="DW1" s="6" t="s">
        <v>37</v>
      </c>
      <c r="DX1" s="11" t="s">
        <v>122</v>
      </c>
      <c r="DY1" s="11" t="s">
        <v>123</v>
      </c>
      <c r="DZ1" s="11" t="s">
        <v>124</v>
      </c>
      <c r="EA1" s="11" t="s">
        <v>125</v>
      </c>
      <c r="EB1" s="11" t="s">
        <v>126</v>
      </c>
      <c r="EC1" s="11" t="s">
        <v>127</v>
      </c>
      <c r="ED1" s="11" t="s">
        <v>128</v>
      </c>
    </row>
    <row r="2" spans="1:134" hidden="1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135</v>
      </c>
      <c r="M2" t="s">
        <v>137</v>
      </c>
      <c r="N2" t="b">
        <v>0</v>
      </c>
      <c r="Y2">
        <v>11</v>
      </c>
      <c r="Z2">
        <v>1500</v>
      </c>
      <c r="DB2" s="12">
        <v>1</v>
      </c>
    </row>
    <row r="3" spans="1:134" hidden="1" x14ac:dyDescent="0.25">
      <c r="A3" t="s">
        <v>138</v>
      </c>
      <c r="B3" t="s">
        <v>130</v>
      </c>
      <c r="C3" t="s">
        <v>131</v>
      </c>
      <c r="D3" t="s">
        <v>132</v>
      </c>
      <c r="E3" t="s">
        <v>133</v>
      </c>
      <c r="F3" t="s">
        <v>139</v>
      </c>
      <c r="G3" t="s">
        <v>140</v>
      </c>
      <c r="H3" t="s">
        <v>141</v>
      </c>
      <c r="I3" t="s">
        <v>142</v>
      </c>
      <c r="L3" t="s">
        <v>143</v>
      </c>
      <c r="M3" t="s">
        <v>137</v>
      </c>
      <c r="N3" t="b">
        <v>0</v>
      </c>
      <c r="Y3" s="12">
        <v>11</v>
      </c>
      <c r="Z3">
        <v>1500</v>
      </c>
      <c r="AE3" s="12" t="s">
        <v>144</v>
      </c>
      <c r="AI3" s="12" t="s">
        <v>145</v>
      </c>
      <c r="AJ3" s="12" t="s">
        <v>146</v>
      </c>
      <c r="AK3" s="12" t="s">
        <v>147</v>
      </c>
      <c r="AR3" s="12" t="str">
        <f>HYPERLINK("https://www.google.com/search?q=Ralpe RTCH-355","Ralpe RTCH-355")</f>
        <v>Ralpe RTCH-355</v>
      </c>
      <c r="AS3">
        <v>500</v>
      </c>
      <c r="AT3" t="s">
        <v>148</v>
      </c>
      <c r="AU3">
        <v>400</v>
      </c>
      <c r="AV3" t="s">
        <v>148</v>
      </c>
      <c r="AW3">
        <v>1000</v>
      </c>
      <c r="AX3" t="s">
        <v>148</v>
      </c>
      <c r="AY3" s="12">
        <v>160</v>
      </c>
      <c r="AZ3" t="s">
        <v>149</v>
      </c>
      <c r="BF3" s="12" t="s">
        <v>150</v>
      </c>
      <c r="BH3" s="12" t="s">
        <v>151</v>
      </c>
      <c r="BI3" s="12" t="s">
        <v>152</v>
      </c>
      <c r="BL3" s="12" t="s">
        <v>153</v>
      </c>
      <c r="BN3" s="12" t="s">
        <v>154</v>
      </c>
      <c r="BP3" s="12" t="s">
        <v>155</v>
      </c>
      <c r="BT3" s="12" t="s">
        <v>156</v>
      </c>
      <c r="BV3" s="12" t="s">
        <v>157</v>
      </c>
      <c r="BY3" s="12" t="s">
        <v>155</v>
      </c>
      <c r="CA3" s="12" t="s">
        <v>158</v>
      </c>
      <c r="CD3" s="12">
        <v>120</v>
      </c>
      <c r="CE3" t="s">
        <v>148</v>
      </c>
      <c r="CH3" s="12" t="s">
        <v>159</v>
      </c>
      <c r="CU3" s="12" t="s">
        <v>159</v>
      </c>
      <c r="DC3" s="12" t="b">
        <v>1</v>
      </c>
      <c r="DD3" s="12" t="s">
        <v>160</v>
      </c>
      <c r="DG3" s="12" t="s">
        <v>161</v>
      </c>
      <c r="DL3" t="s">
        <v>162</v>
      </c>
    </row>
    <row r="4" spans="1:134" hidden="1" x14ac:dyDescent="0.25">
      <c r="A4" t="s">
        <v>163</v>
      </c>
      <c r="B4" t="s">
        <v>130</v>
      </c>
      <c r="C4" t="s">
        <v>131</v>
      </c>
      <c r="D4" t="s">
        <v>132</v>
      </c>
      <c r="E4" t="s">
        <v>133</v>
      </c>
      <c r="F4" t="s">
        <v>164</v>
      </c>
      <c r="G4" t="s">
        <v>165</v>
      </c>
      <c r="H4" t="s">
        <v>166</v>
      </c>
      <c r="I4" t="s">
        <v>165</v>
      </c>
      <c r="M4" t="s">
        <v>137</v>
      </c>
      <c r="N4" t="b">
        <v>0</v>
      </c>
      <c r="P4" s="12" t="s">
        <v>167</v>
      </c>
      <c r="Q4" s="12" t="s">
        <v>167</v>
      </c>
      <c r="R4" s="12">
        <v>160</v>
      </c>
      <c r="S4" t="s">
        <v>148</v>
      </c>
      <c r="T4" s="12" t="s">
        <v>168</v>
      </c>
      <c r="U4" s="12">
        <v>60</v>
      </c>
      <c r="V4" t="s">
        <v>148</v>
      </c>
      <c r="Z4" s="12">
        <v>120</v>
      </c>
      <c r="AA4" s="12" t="s">
        <v>169</v>
      </c>
      <c r="AB4" s="12">
        <v>160</v>
      </c>
      <c r="AC4" t="s">
        <v>148</v>
      </c>
      <c r="AD4" s="12" t="s">
        <v>170</v>
      </c>
      <c r="AE4" s="12" t="s">
        <v>144</v>
      </c>
      <c r="AF4" s="12" t="s">
        <v>171</v>
      </c>
      <c r="AG4" s="13" t="s">
        <v>172</v>
      </c>
      <c r="AH4" s="12" t="s">
        <v>173</v>
      </c>
      <c r="AI4" s="12" t="s">
        <v>145</v>
      </c>
      <c r="AJ4" s="12" t="s">
        <v>146</v>
      </c>
      <c r="AK4" s="12" t="s">
        <v>147</v>
      </c>
      <c r="AL4" s="12" t="s">
        <v>174</v>
      </c>
      <c r="AM4" s="12">
        <v>48</v>
      </c>
      <c r="AN4" t="s">
        <v>175</v>
      </c>
      <c r="AO4" s="12">
        <v>6</v>
      </c>
      <c r="AP4" t="s">
        <v>176</v>
      </c>
      <c r="AQ4" s="12" t="b">
        <v>0</v>
      </c>
      <c r="AR4" s="14" t="s">
        <v>177</v>
      </c>
      <c r="BR4" s="12" t="s">
        <v>178</v>
      </c>
      <c r="BV4" s="12" t="s">
        <v>179</v>
      </c>
      <c r="CF4" s="12" t="s">
        <v>180</v>
      </c>
      <c r="CS4" s="12" t="s">
        <v>181</v>
      </c>
      <c r="DA4" s="12">
        <v>1</v>
      </c>
      <c r="DB4" s="12">
        <v>2</v>
      </c>
      <c r="DN4" s="12" t="b">
        <v>0</v>
      </c>
      <c r="DQ4">
        <v>1</v>
      </c>
      <c r="DR4">
        <f t="shared" ref="DR4" si="0">IF(AE4="125°F (51.7°C) - 150°F (65.6°C)",1,0.5)</f>
        <v>1</v>
      </c>
      <c r="DS4" cm="1">
        <f t="array" ref="DS4">IF(AF4="&lt;0.2 ips",1,O.5)</f>
        <v>1</v>
      </c>
      <c r="DT4">
        <v>0.2</v>
      </c>
      <c r="DU4">
        <v>1</v>
      </c>
      <c r="DV4">
        <v>1</v>
      </c>
      <c r="DW4">
        <v>0.9</v>
      </c>
      <c r="DX4">
        <f>PRODUCT(DQ4:DV4)</f>
        <v>0.2</v>
      </c>
      <c r="DY4">
        <f>+DX4*((14000000/(Z4*AB4^0.5))-4*AB4)</f>
        <v>1716.6619684315547</v>
      </c>
      <c r="DZ4">
        <f>+DY4/8760</f>
        <v>0.19596597813145603</v>
      </c>
      <c r="EA4">
        <f>ROUND(+DZ4*12,1)</f>
        <v>2.4</v>
      </c>
    </row>
    <row r="5" spans="1:134" ht="30" hidden="1" x14ac:dyDescent="0.25">
      <c r="A5" t="s">
        <v>182</v>
      </c>
      <c r="B5" t="s">
        <v>130</v>
      </c>
      <c r="C5" t="s">
        <v>131</v>
      </c>
      <c r="D5" t="s">
        <v>132</v>
      </c>
      <c r="E5" t="s">
        <v>133</v>
      </c>
      <c r="F5" t="s">
        <v>183</v>
      </c>
      <c r="G5" t="s">
        <v>165</v>
      </c>
      <c r="H5" t="s">
        <v>166</v>
      </c>
      <c r="I5" t="s">
        <v>165</v>
      </c>
      <c r="L5" s="11" t="s">
        <v>184</v>
      </c>
      <c r="M5" t="s">
        <v>137</v>
      </c>
      <c r="N5" t="b">
        <v>0</v>
      </c>
      <c r="P5" s="12" t="s">
        <v>185</v>
      </c>
      <c r="Q5" s="12" t="s">
        <v>185</v>
      </c>
      <c r="R5" s="12">
        <v>210</v>
      </c>
      <c r="S5" t="s">
        <v>148</v>
      </c>
      <c r="T5" s="12" t="s">
        <v>168</v>
      </c>
      <c r="U5" s="12">
        <v>53</v>
      </c>
      <c r="V5" t="s">
        <v>148</v>
      </c>
      <c r="Z5" s="12">
        <v>120</v>
      </c>
      <c r="AA5" s="12" t="s">
        <v>169</v>
      </c>
      <c r="AB5" s="12">
        <v>140</v>
      </c>
      <c r="AC5" t="s">
        <v>148</v>
      </c>
      <c r="AD5" s="12" t="s">
        <v>170</v>
      </c>
      <c r="AE5" s="12" t="s">
        <v>144</v>
      </c>
      <c r="AF5" s="12" t="s">
        <v>171</v>
      </c>
      <c r="AG5" s="13" t="s">
        <v>172</v>
      </c>
      <c r="AH5" s="12" t="s">
        <v>173</v>
      </c>
      <c r="AI5" s="12" t="s">
        <v>145</v>
      </c>
      <c r="AJ5" s="12" t="s">
        <v>146</v>
      </c>
      <c r="AK5" s="12" t="s">
        <v>147</v>
      </c>
      <c r="AL5" s="12" t="s">
        <v>174</v>
      </c>
      <c r="AM5" s="12">
        <v>56</v>
      </c>
      <c r="AN5" t="s">
        <v>175</v>
      </c>
      <c r="AO5" s="12">
        <v>-18142</v>
      </c>
      <c r="AP5" t="s">
        <v>186</v>
      </c>
      <c r="AQ5" s="12" t="b">
        <v>0</v>
      </c>
      <c r="AR5" s="14" t="s">
        <v>177</v>
      </c>
      <c r="BR5" s="12" t="s">
        <v>178</v>
      </c>
      <c r="BV5" s="12" t="s">
        <v>179</v>
      </c>
      <c r="CF5" s="12" t="s">
        <v>187</v>
      </c>
      <c r="CS5" s="12" t="s">
        <v>181</v>
      </c>
      <c r="DA5" s="12">
        <v>1</v>
      </c>
      <c r="DB5" s="12">
        <v>2</v>
      </c>
      <c r="DN5" s="12" t="b">
        <v>0</v>
      </c>
      <c r="DQ5">
        <f>IF(T5="Tapered/Spherical",1,0)</f>
        <v>1</v>
      </c>
      <c r="DR5">
        <f>IF(AE5="125°F (51.7°C) - 150°F (65.6°C)",1,0.5)</f>
        <v>1</v>
      </c>
      <c r="DS5" cm="1">
        <f t="array" ref="DS5">IF(AF5="&lt;0.2 ips",1,O.5)</f>
        <v>1</v>
      </c>
      <c r="DT5">
        <v>0.2</v>
      </c>
      <c r="DU5">
        <v>0.7</v>
      </c>
      <c r="DV5">
        <v>1</v>
      </c>
      <c r="DW5">
        <v>0.9</v>
      </c>
      <c r="DX5">
        <f>PRODUCT(DQ5:DV5)</f>
        <v>0.13999999999999999</v>
      </c>
      <c r="DY5">
        <f>+DX5*((14000000/(Z5*AB5^0.5))-4*AB5)</f>
        <v>1302.018616056577</v>
      </c>
      <c r="DZ5">
        <f>+DY5/8760</f>
        <v>0.14863226210691519</v>
      </c>
      <c r="EA5">
        <f>ROUND(+DZ5*12,1)</f>
        <v>1.8</v>
      </c>
    </row>
    <row r="6" spans="1:134" hidden="1" x14ac:dyDescent="0.25">
      <c r="A6" t="s">
        <v>188</v>
      </c>
      <c r="B6" t="s">
        <v>130</v>
      </c>
      <c r="C6" t="s">
        <v>131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M6" t="s">
        <v>137</v>
      </c>
      <c r="N6" t="b">
        <v>0</v>
      </c>
      <c r="AY6" s="12"/>
      <c r="AZ6" t="s">
        <v>195</v>
      </c>
      <c r="BV6" s="12"/>
      <c r="DB6" s="12">
        <v>1</v>
      </c>
      <c r="DD6" s="12"/>
      <c r="DG6" s="12" t="s">
        <v>196</v>
      </c>
      <c r="DV6">
        <f t="shared" ref="DV6:DV7" si="1">IF(AA8="Horizontal",1,0.5)</f>
        <v>1</v>
      </c>
    </row>
    <row r="7" spans="1:134" hidden="1" x14ac:dyDescent="0.25">
      <c r="A7" t="s">
        <v>197</v>
      </c>
      <c r="B7" t="s">
        <v>130</v>
      </c>
      <c r="C7" t="s">
        <v>131</v>
      </c>
      <c r="D7" t="s">
        <v>189</v>
      </c>
      <c r="E7" t="s">
        <v>190</v>
      </c>
      <c r="F7" t="s">
        <v>198</v>
      </c>
      <c r="G7" t="s">
        <v>192</v>
      </c>
      <c r="H7" t="s">
        <v>193</v>
      </c>
      <c r="I7" t="s">
        <v>194</v>
      </c>
      <c r="M7" t="s">
        <v>137</v>
      </c>
      <c r="N7" t="b">
        <v>0</v>
      </c>
      <c r="AY7" s="12"/>
      <c r="AZ7" t="s">
        <v>195</v>
      </c>
      <c r="BV7" s="12"/>
      <c r="DB7" s="12">
        <v>1</v>
      </c>
      <c r="DD7" s="12"/>
      <c r="DG7" s="12" t="s">
        <v>196</v>
      </c>
      <c r="DV7">
        <f t="shared" si="1"/>
        <v>1</v>
      </c>
    </row>
    <row r="8" spans="1:134" hidden="1" x14ac:dyDescent="0.25">
      <c r="A8" t="s">
        <v>199</v>
      </c>
      <c r="B8" t="s">
        <v>130</v>
      </c>
      <c r="C8" t="s">
        <v>131</v>
      </c>
      <c r="D8" t="s">
        <v>189</v>
      </c>
      <c r="E8" t="s">
        <v>190</v>
      </c>
      <c r="F8" t="s">
        <v>200</v>
      </c>
      <c r="G8" t="s">
        <v>201</v>
      </c>
      <c r="H8" t="s">
        <v>202</v>
      </c>
      <c r="I8" t="s">
        <v>201</v>
      </c>
      <c r="M8" t="s">
        <v>137</v>
      </c>
      <c r="N8" t="b">
        <v>0</v>
      </c>
      <c r="P8" s="12"/>
      <c r="Q8" s="12"/>
      <c r="T8" t="s">
        <v>203</v>
      </c>
      <c r="X8" s="12" t="s">
        <v>204</v>
      </c>
      <c r="Y8" s="12">
        <v>132</v>
      </c>
      <c r="Z8" s="12">
        <v>1500</v>
      </c>
      <c r="AA8" s="12" t="s">
        <v>169</v>
      </c>
      <c r="AB8">
        <v>60</v>
      </c>
      <c r="AC8" t="s">
        <v>148</v>
      </c>
      <c r="AE8" s="12" t="s">
        <v>205</v>
      </c>
      <c r="AF8" s="12" t="s">
        <v>171</v>
      </c>
      <c r="AI8" s="12" t="s">
        <v>206</v>
      </c>
      <c r="AJ8" s="12" t="s">
        <v>207</v>
      </c>
      <c r="AK8" s="12" t="s">
        <v>208</v>
      </c>
      <c r="AL8" s="12" t="s">
        <v>209</v>
      </c>
      <c r="AM8" s="12">
        <v>21</v>
      </c>
      <c r="AN8" t="s">
        <v>175</v>
      </c>
      <c r="AO8" s="12">
        <v>6</v>
      </c>
      <c r="AP8" t="s">
        <v>176</v>
      </c>
      <c r="AQ8" s="12" t="b">
        <v>1</v>
      </c>
      <c r="AR8" s="12" t="str">
        <f>HYPERLINK("https://www.google.com/search?q=Siemens","Siemens")</f>
        <v>Siemens</v>
      </c>
      <c r="BR8" s="12" t="s">
        <v>155</v>
      </c>
      <c r="BV8" s="12" t="s">
        <v>210</v>
      </c>
      <c r="CF8" s="12" t="s">
        <v>187</v>
      </c>
      <c r="CS8" s="12" t="s">
        <v>181</v>
      </c>
      <c r="DA8" s="12">
        <v>2</v>
      </c>
      <c r="DN8" s="12" t="b">
        <v>0</v>
      </c>
      <c r="DQ8">
        <f t="shared" ref="DQ8:DQ11" si="2">IF(T8="Ball",10,0)</f>
        <v>10</v>
      </c>
      <c r="DR8">
        <f t="shared" ref="DR8:DR11" si="3">IF(AE8="125°F (51.7°C) - 150°F (65.6°C)",1,0.5)</f>
        <v>0.5</v>
      </c>
      <c r="DS8" cm="1">
        <f t="array" ref="DS8">IF(AF8="&lt;0.2 ips",1,O.5)</f>
        <v>1</v>
      </c>
      <c r="DT8">
        <v>0.2</v>
      </c>
      <c r="DU8">
        <v>0.4</v>
      </c>
      <c r="DV8">
        <v>1</v>
      </c>
      <c r="DW8">
        <v>1</v>
      </c>
      <c r="DX8">
        <f t="shared" ref="DX8:DX11" si="4">PRODUCT(DQ8:DV8)</f>
        <v>0.4</v>
      </c>
      <c r="DY8">
        <f t="shared" ref="DY8:DY11" si="5">+DX8*((14000000/(Z8*AB8^0.5))-4*AB8)</f>
        <v>385.97126086136745</v>
      </c>
      <c r="DZ8">
        <f t="shared" ref="DZ8:DZ11" si="6">+DY8/8760</f>
        <v>4.406064621705108E-2</v>
      </c>
      <c r="EA8">
        <f t="shared" ref="EA8:EA11" si="7">ROUND(+DZ8*12,1)</f>
        <v>0.5</v>
      </c>
    </row>
    <row r="9" spans="1:134" hidden="1" x14ac:dyDescent="0.25">
      <c r="A9" t="s">
        <v>211</v>
      </c>
      <c r="B9" t="s">
        <v>130</v>
      </c>
      <c r="C9" t="s">
        <v>131</v>
      </c>
      <c r="D9" t="s">
        <v>189</v>
      </c>
      <c r="E9" t="s">
        <v>190</v>
      </c>
      <c r="F9" t="s">
        <v>200</v>
      </c>
      <c r="G9" t="s">
        <v>201</v>
      </c>
      <c r="H9" t="s">
        <v>212</v>
      </c>
      <c r="I9" t="s">
        <v>201</v>
      </c>
      <c r="M9" t="s">
        <v>137</v>
      </c>
      <c r="N9" t="b">
        <v>0</v>
      </c>
      <c r="P9" s="12"/>
      <c r="Q9" s="12"/>
      <c r="T9" t="s">
        <v>203</v>
      </c>
      <c r="X9" s="12" t="s">
        <v>204</v>
      </c>
      <c r="Y9" s="12">
        <v>132</v>
      </c>
      <c r="Z9" s="12">
        <v>1500</v>
      </c>
      <c r="AA9" s="12" t="s">
        <v>169</v>
      </c>
      <c r="AB9">
        <v>60</v>
      </c>
      <c r="AC9" t="s">
        <v>148</v>
      </c>
      <c r="AE9" s="12" t="s">
        <v>205</v>
      </c>
      <c r="AF9" s="12" t="s">
        <v>171</v>
      </c>
      <c r="AI9" s="12" t="s">
        <v>206</v>
      </c>
      <c r="AJ9" s="12" t="s">
        <v>207</v>
      </c>
      <c r="AK9" s="12" t="s">
        <v>208</v>
      </c>
      <c r="AL9" s="12" t="s">
        <v>209</v>
      </c>
      <c r="AM9" s="12">
        <v>21</v>
      </c>
      <c r="AN9" t="s">
        <v>175</v>
      </c>
      <c r="AO9" s="12">
        <v>6</v>
      </c>
      <c r="AP9" t="s">
        <v>176</v>
      </c>
      <c r="AQ9" s="12" t="b">
        <v>1</v>
      </c>
      <c r="AR9" s="12" t="str">
        <f>HYPERLINK("https://www.google.com/search?q=Siemens","Siemens")</f>
        <v>Siemens</v>
      </c>
      <c r="BR9" s="12" t="s">
        <v>155</v>
      </c>
      <c r="BV9" s="12" t="s">
        <v>210</v>
      </c>
      <c r="CF9" s="12" t="s">
        <v>187</v>
      </c>
      <c r="CS9" s="12" t="s">
        <v>181</v>
      </c>
      <c r="DA9" s="12">
        <v>2</v>
      </c>
      <c r="DN9" s="12" t="b">
        <v>0</v>
      </c>
      <c r="DQ9">
        <f t="shared" si="2"/>
        <v>10</v>
      </c>
      <c r="DR9">
        <f t="shared" si="3"/>
        <v>0.5</v>
      </c>
      <c r="DS9" cm="1">
        <f t="array" ref="DS9">IF(AF9="&lt;0.2 ips",1,O.5)</f>
        <v>1</v>
      </c>
      <c r="DT9">
        <v>0.2</v>
      </c>
      <c r="DU9">
        <v>0.4</v>
      </c>
      <c r="DV9">
        <v>1</v>
      </c>
      <c r="DW9">
        <v>1</v>
      </c>
      <c r="DX9">
        <f t="shared" si="4"/>
        <v>0.4</v>
      </c>
      <c r="DY9">
        <f t="shared" si="5"/>
        <v>385.97126086136745</v>
      </c>
      <c r="DZ9">
        <f t="shared" si="6"/>
        <v>4.406064621705108E-2</v>
      </c>
      <c r="EA9">
        <f t="shared" si="7"/>
        <v>0.5</v>
      </c>
    </row>
    <row r="10" spans="1:134" hidden="1" x14ac:dyDescent="0.25">
      <c r="A10" t="s">
        <v>213</v>
      </c>
      <c r="B10" t="s">
        <v>130</v>
      </c>
      <c r="C10" t="s">
        <v>131</v>
      </c>
      <c r="D10" t="s">
        <v>189</v>
      </c>
      <c r="E10" t="s">
        <v>190</v>
      </c>
      <c r="F10" t="s">
        <v>214</v>
      </c>
      <c r="G10" t="s">
        <v>201</v>
      </c>
      <c r="H10" t="s">
        <v>202</v>
      </c>
      <c r="I10" t="s">
        <v>201</v>
      </c>
      <c r="M10" t="s">
        <v>137</v>
      </c>
      <c r="N10" t="b">
        <v>0</v>
      </c>
      <c r="P10" s="12"/>
      <c r="Q10" s="12"/>
      <c r="T10" t="s">
        <v>203</v>
      </c>
      <c r="X10" s="12" t="s">
        <v>204</v>
      </c>
      <c r="Y10" s="12">
        <v>132</v>
      </c>
      <c r="Z10" s="12">
        <v>1500</v>
      </c>
      <c r="AA10" s="12" t="s">
        <v>169</v>
      </c>
      <c r="AB10">
        <v>60</v>
      </c>
      <c r="AC10" t="s">
        <v>148</v>
      </c>
      <c r="AE10" s="12" t="s">
        <v>205</v>
      </c>
      <c r="AF10" s="12" t="s">
        <v>171</v>
      </c>
      <c r="AI10" s="12" t="s">
        <v>206</v>
      </c>
      <c r="AJ10" s="12" t="s">
        <v>207</v>
      </c>
      <c r="AK10" s="12" t="s">
        <v>208</v>
      </c>
      <c r="AL10" s="12" t="s">
        <v>209</v>
      </c>
      <c r="AM10" s="12">
        <v>21</v>
      </c>
      <c r="AN10" t="s">
        <v>175</v>
      </c>
      <c r="AO10" s="12">
        <v>6</v>
      </c>
      <c r="AP10" t="s">
        <v>176</v>
      </c>
      <c r="AQ10" s="12" t="b">
        <v>1</v>
      </c>
      <c r="AR10" s="12" t="str">
        <f>HYPERLINK("https://www.google.com/search?q=Siemens","Siemens")</f>
        <v>Siemens</v>
      </c>
      <c r="BR10" s="12" t="s">
        <v>155</v>
      </c>
      <c r="BV10" s="12" t="s">
        <v>210</v>
      </c>
      <c r="CF10" s="12" t="s">
        <v>187</v>
      </c>
      <c r="CS10" s="12" t="s">
        <v>181</v>
      </c>
      <c r="DA10" s="12">
        <v>2</v>
      </c>
      <c r="DN10" s="12" t="b">
        <v>0</v>
      </c>
      <c r="DQ10">
        <f t="shared" si="2"/>
        <v>10</v>
      </c>
      <c r="DR10">
        <f t="shared" si="3"/>
        <v>0.5</v>
      </c>
      <c r="DS10" cm="1">
        <f t="array" ref="DS10">IF(AF10="&lt;0.2 ips",1,O.5)</f>
        <v>1</v>
      </c>
      <c r="DT10">
        <v>0.2</v>
      </c>
      <c r="DU10">
        <v>0.4</v>
      </c>
      <c r="DV10">
        <v>1</v>
      </c>
      <c r="DW10">
        <v>1</v>
      </c>
      <c r="DX10">
        <f t="shared" si="4"/>
        <v>0.4</v>
      </c>
      <c r="DY10">
        <f t="shared" si="5"/>
        <v>385.97126086136745</v>
      </c>
      <c r="DZ10">
        <f t="shared" si="6"/>
        <v>4.406064621705108E-2</v>
      </c>
      <c r="EA10">
        <f t="shared" si="7"/>
        <v>0.5</v>
      </c>
    </row>
    <row r="11" spans="1:134" hidden="1" x14ac:dyDescent="0.25">
      <c r="A11" t="s">
        <v>215</v>
      </c>
      <c r="B11" t="s">
        <v>130</v>
      </c>
      <c r="C11" t="s">
        <v>131</v>
      </c>
      <c r="D11" t="s">
        <v>189</v>
      </c>
      <c r="E11" t="s">
        <v>190</v>
      </c>
      <c r="F11" t="s">
        <v>214</v>
      </c>
      <c r="G11" t="s">
        <v>201</v>
      </c>
      <c r="H11" t="s">
        <v>212</v>
      </c>
      <c r="I11" t="s">
        <v>201</v>
      </c>
      <c r="M11" t="s">
        <v>137</v>
      </c>
      <c r="N11" t="b">
        <v>0</v>
      </c>
      <c r="P11" s="12"/>
      <c r="Q11" s="12"/>
      <c r="T11" t="s">
        <v>203</v>
      </c>
      <c r="X11" s="12" t="s">
        <v>204</v>
      </c>
      <c r="Y11" s="12">
        <v>132</v>
      </c>
      <c r="Z11" s="12">
        <v>1500</v>
      </c>
      <c r="AA11" s="12" t="s">
        <v>169</v>
      </c>
      <c r="AB11">
        <v>60</v>
      </c>
      <c r="AC11" t="s">
        <v>148</v>
      </c>
      <c r="AE11" s="12" t="s">
        <v>205</v>
      </c>
      <c r="AF11" s="12" t="s">
        <v>171</v>
      </c>
      <c r="AI11" s="12" t="s">
        <v>206</v>
      </c>
      <c r="AJ11" s="12" t="s">
        <v>207</v>
      </c>
      <c r="AK11" s="12" t="s">
        <v>208</v>
      </c>
      <c r="AL11" s="12" t="s">
        <v>209</v>
      </c>
      <c r="AM11" s="12">
        <v>21</v>
      </c>
      <c r="AN11" t="s">
        <v>175</v>
      </c>
      <c r="AO11" s="12">
        <v>6</v>
      </c>
      <c r="AP11" t="s">
        <v>176</v>
      </c>
      <c r="AQ11" s="12" t="b">
        <v>1</v>
      </c>
      <c r="AR11" s="12" t="str">
        <f>HYPERLINK("https://www.google.com/search?q=Siemens","Siemens")</f>
        <v>Siemens</v>
      </c>
      <c r="BR11" s="12" t="s">
        <v>155</v>
      </c>
      <c r="BV11" s="12" t="s">
        <v>210</v>
      </c>
      <c r="CF11" s="12" t="s">
        <v>187</v>
      </c>
      <c r="CS11" s="12" t="s">
        <v>181</v>
      </c>
      <c r="DA11" s="12">
        <v>2</v>
      </c>
      <c r="DN11" s="12" t="b">
        <v>0</v>
      </c>
      <c r="DQ11">
        <f t="shared" si="2"/>
        <v>10</v>
      </c>
      <c r="DR11">
        <f t="shared" si="3"/>
        <v>0.5</v>
      </c>
      <c r="DS11" cm="1">
        <f t="array" ref="DS11">IF(AF11="&lt;0.2 ips",1,O.5)</f>
        <v>1</v>
      </c>
      <c r="DT11">
        <v>0.2</v>
      </c>
      <c r="DU11">
        <v>0.4</v>
      </c>
      <c r="DV11">
        <v>1</v>
      </c>
      <c r="DW11">
        <v>1</v>
      </c>
      <c r="DX11">
        <f t="shared" si="4"/>
        <v>0.4</v>
      </c>
      <c r="DY11">
        <f t="shared" si="5"/>
        <v>385.97126086136745</v>
      </c>
      <c r="DZ11">
        <f t="shared" si="6"/>
        <v>4.406064621705108E-2</v>
      </c>
      <c r="EA11">
        <f t="shared" si="7"/>
        <v>0.5</v>
      </c>
    </row>
    <row r="12" spans="1:134" hidden="1" x14ac:dyDescent="0.25">
      <c r="A12" t="s">
        <v>216</v>
      </c>
      <c r="B12" t="s">
        <v>130</v>
      </c>
      <c r="C12" t="s">
        <v>131</v>
      </c>
      <c r="D12" t="s">
        <v>189</v>
      </c>
      <c r="E12" t="s">
        <v>190</v>
      </c>
      <c r="F12" t="s">
        <v>217</v>
      </c>
      <c r="G12" t="s">
        <v>140</v>
      </c>
      <c r="H12" t="s">
        <v>141</v>
      </c>
      <c r="I12" t="s">
        <v>142</v>
      </c>
      <c r="M12" t="s">
        <v>137</v>
      </c>
      <c r="N12" t="b">
        <v>0</v>
      </c>
      <c r="Y12" s="12"/>
      <c r="AE12" s="12" t="s">
        <v>144</v>
      </c>
      <c r="AI12" s="12" t="s">
        <v>145</v>
      </c>
      <c r="AJ12" s="12" t="s">
        <v>146</v>
      </c>
      <c r="AK12" s="12" t="s">
        <v>147</v>
      </c>
      <c r="AR12" s="12" t="str">
        <f>HYPERLINK("https://www.google.com/search?q=","")</f>
        <v/>
      </c>
      <c r="AS12">
        <v>670</v>
      </c>
      <c r="AT12" t="s">
        <v>148</v>
      </c>
      <c r="AU12">
        <v>350</v>
      </c>
      <c r="AV12" t="s">
        <v>148</v>
      </c>
      <c r="AW12">
        <v>1100</v>
      </c>
      <c r="AX12" t="s">
        <v>148</v>
      </c>
      <c r="AY12" s="12">
        <v>170</v>
      </c>
      <c r="AZ12" t="s">
        <v>149</v>
      </c>
      <c r="BF12" s="12" t="s">
        <v>150</v>
      </c>
      <c r="BH12" s="12" t="s">
        <v>151</v>
      </c>
      <c r="BI12" s="12" t="s">
        <v>152</v>
      </c>
      <c r="BL12" s="12" t="s">
        <v>153</v>
      </c>
      <c r="BN12" s="12" t="s">
        <v>154</v>
      </c>
      <c r="BP12" s="12" t="s">
        <v>155</v>
      </c>
      <c r="BT12" s="12" t="s">
        <v>156</v>
      </c>
      <c r="BV12" s="12" t="s">
        <v>157</v>
      </c>
      <c r="BY12" s="12" t="s">
        <v>155</v>
      </c>
      <c r="CA12" s="12" t="s">
        <v>218</v>
      </c>
      <c r="CD12" s="12">
        <v>320</v>
      </c>
      <c r="CE12" t="s">
        <v>148</v>
      </c>
      <c r="CH12" s="12" t="s">
        <v>159</v>
      </c>
      <c r="CU12" s="12" t="s">
        <v>159</v>
      </c>
      <c r="DC12" s="12" t="b">
        <v>1</v>
      </c>
      <c r="DD12" s="12" t="s">
        <v>219</v>
      </c>
      <c r="DG12" s="12" t="s">
        <v>161</v>
      </c>
      <c r="DL12" t="s">
        <v>162</v>
      </c>
      <c r="DV12">
        <f t="shared" ref="DV12:DV14" si="8">IF(AA14="Horizontal",1,0.5)</f>
        <v>1</v>
      </c>
    </row>
    <row r="13" spans="1:134" hidden="1" x14ac:dyDescent="0.25">
      <c r="A13" t="s">
        <v>220</v>
      </c>
      <c r="B13" t="s">
        <v>130</v>
      </c>
      <c r="C13" t="s">
        <v>131</v>
      </c>
      <c r="D13" t="s">
        <v>189</v>
      </c>
      <c r="E13" t="s">
        <v>190</v>
      </c>
      <c r="F13" t="s">
        <v>221</v>
      </c>
      <c r="G13" t="s">
        <v>140</v>
      </c>
      <c r="H13" t="s">
        <v>141</v>
      </c>
      <c r="I13" t="s">
        <v>142</v>
      </c>
      <c r="M13" t="s">
        <v>137</v>
      </c>
      <c r="N13" t="b">
        <v>0</v>
      </c>
      <c r="Y13" s="12"/>
      <c r="AE13" s="12" t="s">
        <v>144</v>
      </c>
      <c r="AI13" s="12" t="s">
        <v>145</v>
      </c>
      <c r="AJ13" s="12" t="s">
        <v>146</v>
      </c>
      <c r="AK13" s="12" t="s">
        <v>147</v>
      </c>
      <c r="AR13" s="12" t="str">
        <f>HYPERLINK("https://www.google.com/search?q=","")</f>
        <v/>
      </c>
      <c r="AS13">
        <v>670</v>
      </c>
      <c r="AT13" t="s">
        <v>148</v>
      </c>
      <c r="AU13">
        <v>350</v>
      </c>
      <c r="AV13" t="s">
        <v>148</v>
      </c>
      <c r="AW13">
        <v>1100</v>
      </c>
      <c r="AX13" t="s">
        <v>148</v>
      </c>
      <c r="AY13" s="12">
        <v>170</v>
      </c>
      <c r="AZ13" t="s">
        <v>149</v>
      </c>
      <c r="BF13" s="12" t="s">
        <v>150</v>
      </c>
      <c r="BH13" s="12" t="s">
        <v>151</v>
      </c>
      <c r="BI13" s="12" t="s">
        <v>152</v>
      </c>
      <c r="BL13" s="12" t="s">
        <v>153</v>
      </c>
      <c r="BN13" s="12" t="s">
        <v>154</v>
      </c>
      <c r="BP13" s="12" t="s">
        <v>155</v>
      </c>
      <c r="BT13" s="12" t="s">
        <v>156</v>
      </c>
      <c r="BV13" s="12" t="s">
        <v>157</v>
      </c>
      <c r="BY13" s="12" t="s">
        <v>155</v>
      </c>
      <c r="CA13" s="12" t="s">
        <v>218</v>
      </c>
      <c r="CD13" s="12">
        <v>320</v>
      </c>
      <c r="CE13" t="s">
        <v>148</v>
      </c>
      <c r="CH13" s="12" t="s">
        <v>159</v>
      </c>
      <c r="CU13" s="12" t="s">
        <v>159</v>
      </c>
      <c r="DC13" s="12" t="b">
        <v>1</v>
      </c>
      <c r="DD13" s="12" t="s">
        <v>219</v>
      </c>
      <c r="DG13" s="12" t="s">
        <v>161</v>
      </c>
      <c r="DL13" t="s">
        <v>162</v>
      </c>
      <c r="DV13">
        <f t="shared" si="8"/>
        <v>1</v>
      </c>
    </row>
    <row r="14" spans="1:134" hidden="1" x14ac:dyDescent="0.25">
      <c r="A14" t="s">
        <v>222</v>
      </c>
      <c r="B14" t="s">
        <v>130</v>
      </c>
      <c r="C14" t="s">
        <v>131</v>
      </c>
      <c r="D14" t="s">
        <v>189</v>
      </c>
      <c r="E14" t="s">
        <v>190</v>
      </c>
      <c r="F14" t="s">
        <v>223</v>
      </c>
      <c r="G14" t="s">
        <v>165</v>
      </c>
      <c r="H14" t="s">
        <v>166</v>
      </c>
      <c r="I14" t="s">
        <v>165</v>
      </c>
      <c r="L14" t="s">
        <v>224</v>
      </c>
      <c r="M14" t="s">
        <v>137</v>
      </c>
      <c r="N14" t="b">
        <v>0</v>
      </c>
      <c r="P14" s="12"/>
      <c r="Q14" s="12"/>
      <c r="R14" s="12"/>
      <c r="S14" t="s">
        <v>225</v>
      </c>
      <c r="T14" s="12" t="s">
        <v>168</v>
      </c>
      <c r="U14" s="12"/>
      <c r="V14" t="s">
        <v>225</v>
      </c>
      <c r="Z14" s="12">
        <v>120</v>
      </c>
      <c r="AA14" s="12" t="s">
        <v>169</v>
      </c>
      <c r="AB14" s="12"/>
      <c r="AC14" t="s">
        <v>225</v>
      </c>
      <c r="AD14" s="12"/>
      <c r="AE14" s="12" t="s">
        <v>144</v>
      </c>
      <c r="AF14" s="12" t="s">
        <v>171</v>
      </c>
      <c r="AG14" s="13" t="s">
        <v>172</v>
      </c>
      <c r="AH14" s="12" t="s">
        <v>173</v>
      </c>
      <c r="AI14" s="12" t="s">
        <v>145</v>
      </c>
      <c r="AJ14" s="12" t="s">
        <v>146</v>
      </c>
      <c r="AK14" s="12" t="s">
        <v>226</v>
      </c>
      <c r="AL14" s="12" t="s">
        <v>174</v>
      </c>
      <c r="AM14" s="12"/>
      <c r="AO14" s="12">
        <v>0</v>
      </c>
      <c r="AQ14" s="12" t="b">
        <v>0</v>
      </c>
      <c r="BR14" s="12" t="s">
        <v>155</v>
      </c>
      <c r="BV14" s="12" t="s">
        <v>179</v>
      </c>
      <c r="CF14" s="12" t="s">
        <v>180</v>
      </c>
      <c r="CS14" s="12" t="s">
        <v>227</v>
      </c>
      <c r="DA14" s="12">
        <v>1</v>
      </c>
      <c r="DB14" s="12">
        <v>2</v>
      </c>
      <c r="DF14" t="s">
        <v>178</v>
      </c>
      <c r="DN14" s="12" t="b">
        <v>0</v>
      </c>
      <c r="DV14">
        <f t="shared" si="8"/>
        <v>1</v>
      </c>
    </row>
    <row r="15" spans="1:134" hidden="1" x14ac:dyDescent="0.25">
      <c r="A15" t="s">
        <v>228</v>
      </c>
      <c r="B15" t="s">
        <v>130</v>
      </c>
      <c r="C15" t="s">
        <v>131</v>
      </c>
      <c r="D15" t="s">
        <v>189</v>
      </c>
      <c r="E15" t="s">
        <v>190</v>
      </c>
      <c r="F15" t="s">
        <v>229</v>
      </c>
      <c r="G15" t="s">
        <v>165</v>
      </c>
      <c r="H15" t="s">
        <v>166</v>
      </c>
      <c r="I15" t="s">
        <v>165</v>
      </c>
      <c r="L15" t="s">
        <v>224</v>
      </c>
      <c r="M15" t="s">
        <v>137</v>
      </c>
      <c r="N15" t="b">
        <v>0</v>
      </c>
      <c r="P15" s="12" t="s">
        <v>230</v>
      </c>
      <c r="Q15" s="12" t="s">
        <v>230</v>
      </c>
      <c r="R15" s="12">
        <v>210</v>
      </c>
      <c r="S15" t="s">
        <v>148</v>
      </c>
      <c r="T15" s="12" t="s">
        <v>168</v>
      </c>
      <c r="U15" s="12">
        <v>53</v>
      </c>
      <c r="V15" t="s">
        <v>148</v>
      </c>
      <c r="Z15" s="12">
        <v>120</v>
      </c>
      <c r="AA15" s="12" t="s">
        <v>169</v>
      </c>
      <c r="AB15" s="12">
        <v>125</v>
      </c>
      <c r="AC15" t="s">
        <v>148</v>
      </c>
      <c r="AD15" s="12" t="s">
        <v>170</v>
      </c>
      <c r="AE15" s="12" t="s">
        <v>144</v>
      </c>
      <c r="AF15" s="12" t="s">
        <v>171</v>
      </c>
      <c r="AG15" s="13" t="s">
        <v>172</v>
      </c>
      <c r="AH15" s="12" t="s">
        <v>173</v>
      </c>
      <c r="AI15" s="12" t="s">
        <v>145</v>
      </c>
      <c r="AJ15" s="12" t="s">
        <v>146</v>
      </c>
      <c r="AK15" s="12" t="s">
        <v>226</v>
      </c>
      <c r="AL15" s="12" t="s">
        <v>174</v>
      </c>
      <c r="AM15" s="12">
        <v>56</v>
      </c>
      <c r="AN15" t="s">
        <v>175</v>
      </c>
      <c r="AO15" s="12">
        <v>0</v>
      </c>
      <c r="AQ15" s="12" t="b">
        <v>0</v>
      </c>
      <c r="AR15" s="14" t="s">
        <v>177</v>
      </c>
      <c r="BR15" s="12" t="s">
        <v>178</v>
      </c>
      <c r="BV15" s="12" t="s">
        <v>179</v>
      </c>
      <c r="CF15" s="12" t="s">
        <v>180</v>
      </c>
      <c r="CS15" s="12" t="s">
        <v>227</v>
      </c>
      <c r="DA15" s="12">
        <v>1</v>
      </c>
      <c r="DB15" s="12">
        <v>2</v>
      </c>
      <c r="DN15" s="12" t="b">
        <v>0</v>
      </c>
      <c r="DQ15">
        <f t="shared" ref="DQ15:DQ17" si="9">IF(T15="Tapered/Spherical",1,0)</f>
        <v>1</v>
      </c>
      <c r="DR15">
        <f t="shared" ref="DR15:DR17" si="10">IF(AE15="125°F (51.7°C) - 150°F (65.6°C)",1,0.5)</f>
        <v>1</v>
      </c>
      <c r="DS15" cm="1">
        <f t="array" ref="DS15">IF(AF15="&lt;0.2 ips",1,O.5)</f>
        <v>1</v>
      </c>
      <c r="DT15">
        <v>0.2</v>
      </c>
      <c r="DU15">
        <v>0.7</v>
      </c>
      <c r="DV15">
        <v>1</v>
      </c>
      <c r="DW15">
        <v>0.9</v>
      </c>
      <c r="DX15">
        <f t="shared" ref="DX15:DX17" si="11">PRODUCT(DQ15:DV15)</f>
        <v>0.13999999999999999</v>
      </c>
      <c r="DY15">
        <f t="shared" ref="DY15:DY16" si="12">+DX15*((14000000/(Z15*AB15^0.5))-4*AB15)</f>
        <v>1390.8977452998622</v>
      </c>
      <c r="DZ15">
        <f t="shared" ref="DZ15:DZ17" si="13">+DY15/8760</f>
        <v>0.15877828142692491</v>
      </c>
      <c r="EA15">
        <f t="shared" ref="EA15:EA17" si="14">ROUND(+DZ15*12,1)</f>
        <v>1.9</v>
      </c>
    </row>
    <row r="16" spans="1:134" hidden="1" x14ac:dyDescent="0.25">
      <c r="A16" t="s">
        <v>231</v>
      </c>
      <c r="B16" t="s">
        <v>130</v>
      </c>
      <c r="C16" t="s">
        <v>131</v>
      </c>
      <c r="D16" t="s">
        <v>189</v>
      </c>
      <c r="E16" t="s">
        <v>190</v>
      </c>
      <c r="F16" t="s">
        <v>232</v>
      </c>
      <c r="G16" t="s">
        <v>165</v>
      </c>
      <c r="H16" t="s">
        <v>166</v>
      </c>
      <c r="I16" t="s">
        <v>165</v>
      </c>
      <c r="L16" t="s">
        <v>224</v>
      </c>
      <c r="M16" t="s">
        <v>137</v>
      </c>
      <c r="N16" t="b">
        <v>0</v>
      </c>
      <c r="P16" s="12" t="s">
        <v>230</v>
      </c>
      <c r="Q16" s="12" t="s">
        <v>230</v>
      </c>
      <c r="R16" s="12">
        <v>210</v>
      </c>
      <c r="S16" t="s">
        <v>148</v>
      </c>
      <c r="T16" s="12" t="s">
        <v>168</v>
      </c>
      <c r="U16" s="12">
        <v>53</v>
      </c>
      <c r="V16" t="s">
        <v>148</v>
      </c>
      <c r="Z16" s="12">
        <v>120</v>
      </c>
      <c r="AA16" s="12" t="s">
        <v>169</v>
      </c>
      <c r="AB16" s="12">
        <v>125</v>
      </c>
      <c r="AC16" t="s">
        <v>148</v>
      </c>
      <c r="AD16" s="12" t="s">
        <v>170</v>
      </c>
      <c r="AE16" s="12" t="s">
        <v>144</v>
      </c>
      <c r="AF16" s="12" t="s">
        <v>171</v>
      </c>
      <c r="AG16" s="13" t="s">
        <v>172</v>
      </c>
      <c r="AH16" s="12" t="s">
        <v>173</v>
      </c>
      <c r="AI16" s="12" t="s">
        <v>145</v>
      </c>
      <c r="AJ16" s="12" t="s">
        <v>146</v>
      </c>
      <c r="AK16" s="12" t="s">
        <v>226</v>
      </c>
      <c r="AL16" s="12" t="s">
        <v>174</v>
      </c>
      <c r="AM16" s="12">
        <v>56</v>
      </c>
      <c r="AN16" t="s">
        <v>175</v>
      </c>
      <c r="AO16" s="12">
        <v>0</v>
      </c>
      <c r="AQ16" s="12" t="b">
        <v>0</v>
      </c>
      <c r="AR16" s="14" t="s">
        <v>177</v>
      </c>
      <c r="BR16" s="12" t="s">
        <v>155</v>
      </c>
      <c r="BV16" s="12" t="s">
        <v>179</v>
      </c>
      <c r="CF16" s="12" t="s">
        <v>180</v>
      </c>
      <c r="CS16" s="12" t="s">
        <v>227</v>
      </c>
      <c r="DA16" s="12">
        <v>1</v>
      </c>
      <c r="DB16" s="12">
        <v>2</v>
      </c>
      <c r="DN16" s="12" t="b">
        <v>0</v>
      </c>
      <c r="DQ16">
        <f t="shared" si="9"/>
        <v>1</v>
      </c>
      <c r="DR16">
        <f t="shared" si="10"/>
        <v>1</v>
      </c>
      <c r="DS16" cm="1">
        <f t="array" ref="DS16">IF(AF16="&lt;0.2 ips",1,O.5)</f>
        <v>1</v>
      </c>
      <c r="DT16">
        <v>0.2</v>
      </c>
      <c r="DU16">
        <v>0.7</v>
      </c>
      <c r="DV16">
        <v>1</v>
      </c>
      <c r="DW16">
        <v>0.9</v>
      </c>
      <c r="DX16">
        <f t="shared" si="11"/>
        <v>0.13999999999999999</v>
      </c>
      <c r="DY16">
        <f t="shared" si="12"/>
        <v>1390.8977452998622</v>
      </c>
      <c r="DZ16">
        <f t="shared" si="13"/>
        <v>0.15877828142692491</v>
      </c>
      <c r="EA16">
        <f t="shared" si="14"/>
        <v>1.9</v>
      </c>
    </row>
    <row r="17" spans="1:131" hidden="1" x14ac:dyDescent="0.25">
      <c r="A17" t="s">
        <v>233</v>
      </c>
      <c r="B17" t="s">
        <v>130</v>
      </c>
      <c r="C17" t="s">
        <v>131</v>
      </c>
      <c r="D17" t="s">
        <v>189</v>
      </c>
      <c r="E17" t="s">
        <v>190</v>
      </c>
      <c r="F17" t="s">
        <v>234</v>
      </c>
      <c r="G17" t="s">
        <v>165</v>
      </c>
      <c r="H17" t="s">
        <v>166</v>
      </c>
      <c r="I17" t="s">
        <v>165</v>
      </c>
      <c r="L17" t="s">
        <v>224</v>
      </c>
      <c r="M17" t="s">
        <v>137</v>
      </c>
      <c r="N17" t="b">
        <v>0</v>
      </c>
      <c r="P17" s="12" t="s">
        <v>230</v>
      </c>
      <c r="Q17" s="12" t="s">
        <v>230</v>
      </c>
      <c r="R17" s="12">
        <v>210</v>
      </c>
      <c r="S17" t="s">
        <v>148</v>
      </c>
      <c r="T17" s="12" t="s">
        <v>168</v>
      </c>
      <c r="U17" s="12">
        <v>53</v>
      </c>
      <c r="V17" t="s">
        <v>148</v>
      </c>
      <c r="Z17" s="12">
        <v>120</v>
      </c>
      <c r="AA17" s="12" t="s">
        <v>169</v>
      </c>
      <c r="AB17" s="12">
        <v>125</v>
      </c>
      <c r="AC17" t="s">
        <v>148</v>
      </c>
      <c r="AD17" s="12" t="s">
        <v>170</v>
      </c>
      <c r="AE17" s="12" t="s">
        <v>144</v>
      </c>
      <c r="AF17" s="12" t="s">
        <v>171</v>
      </c>
      <c r="AG17" s="13" t="s">
        <v>172</v>
      </c>
      <c r="AH17" s="12" t="s">
        <v>173</v>
      </c>
      <c r="AI17" s="12" t="s">
        <v>145</v>
      </c>
      <c r="AJ17" s="12" t="s">
        <v>146</v>
      </c>
      <c r="AK17" s="12" t="s">
        <v>226</v>
      </c>
      <c r="AL17" s="12" t="s">
        <v>174</v>
      </c>
      <c r="AM17" s="12">
        <v>56</v>
      </c>
      <c r="AN17" t="s">
        <v>175</v>
      </c>
      <c r="AO17" s="12">
        <v>0</v>
      </c>
      <c r="AQ17" s="12" t="b">
        <v>0</v>
      </c>
      <c r="AR17" s="14" t="s">
        <v>177</v>
      </c>
      <c r="BR17" s="12" t="s">
        <v>155</v>
      </c>
      <c r="BV17" s="12" t="s">
        <v>179</v>
      </c>
      <c r="CF17" s="12" t="s">
        <v>180</v>
      </c>
      <c r="CS17" s="12" t="s">
        <v>227</v>
      </c>
      <c r="DA17" s="12">
        <v>1</v>
      </c>
      <c r="DB17" s="12">
        <v>2</v>
      </c>
      <c r="DN17" s="12" t="b">
        <v>0</v>
      </c>
      <c r="DQ17">
        <f t="shared" si="9"/>
        <v>1</v>
      </c>
      <c r="DR17">
        <f t="shared" si="10"/>
        <v>1</v>
      </c>
      <c r="DS17" cm="1">
        <f t="array" ref="DS17">IF(AF17="&lt;0.2 ips",1,O.5)</f>
        <v>1</v>
      </c>
      <c r="DT17">
        <v>0.2</v>
      </c>
      <c r="DU17">
        <v>0.7</v>
      </c>
      <c r="DV17">
        <v>1</v>
      </c>
      <c r="DW17">
        <v>0.9</v>
      </c>
      <c r="DX17">
        <f t="shared" si="11"/>
        <v>0.13999999999999999</v>
      </c>
      <c r="DY17">
        <f>+DX17*((14000000/(Z17*AB17^0.5))-4*AB17)</f>
        <v>1390.8977452998622</v>
      </c>
      <c r="DZ17">
        <f t="shared" si="13"/>
        <v>0.15877828142692491</v>
      </c>
      <c r="EA17">
        <f t="shared" si="14"/>
        <v>1.9</v>
      </c>
    </row>
    <row r="18" spans="1:131" hidden="1" x14ac:dyDescent="0.25">
      <c r="A18" t="s">
        <v>235</v>
      </c>
      <c r="B18" t="s">
        <v>130</v>
      </c>
      <c r="C18" t="s">
        <v>131</v>
      </c>
      <c r="D18" t="s">
        <v>189</v>
      </c>
      <c r="E18" t="s">
        <v>190</v>
      </c>
      <c r="F18" t="s">
        <v>236</v>
      </c>
      <c r="G18" t="s">
        <v>165</v>
      </c>
      <c r="H18" t="s">
        <v>166</v>
      </c>
      <c r="I18" t="s">
        <v>165</v>
      </c>
      <c r="L18" t="s">
        <v>224</v>
      </c>
      <c r="M18" t="s">
        <v>137</v>
      </c>
      <c r="N18" t="b">
        <v>0</v>
      </c>
      <c r="P18" s="12"/>
      <c r="Q18" s="12"/>
      <c r="R18" s="12"/>
      <c r="S18" t="s">
        <v>225</v>
      </c>
      <c r="T18" s="12" t="s">
        <v>168</v>
      </c>
      <c r="U18" s="12"/>
      <c r="V18" t="s">
        <v>225</v>
      </c>
      <c r="Z18" s="12">
        <v>120</v>
      </c>
      <c r="AA18" s="12" t="s">
        <v>169</v>
      </c>
      <c r="AB18" s="12"/>
      <c r="AC18" t="s">
        <v>225</v>
      </c>
      <c r="AD18" s="12"/>
      <c r="AE18" s="12" t="s">
        <v>144</v>
      </c>
      <c r="AF18" s="12" t="s">
        <v>171</v>
      </c>
      <c r="AG18" s="13" t="s">
        <v>172</v>
      </c>
      <c r="AH18" s="12" t="s">
        <v>173</v>
      </c>
      <c r="AI18" s="12" t="s">
        <v>145</v>
      </c>
      <c r="AJ18" s="12" t="s">
        <v>146</v>
      </c>
      <c r="AK18" s="12" t="s">
        <v>226</v>
      </c>
      <c r="AL18" s="12" t="s">
        <v>174</v>
      </c>
      <c r="AM18" s="12"/>
      <c r="AO18" s="12">
        <v>0</v>
      </c>
      <c r="AQ18" s="12" t="b">
        <v>0</v>
      </c>
      <c r="BR18" s="12" t="s">
        <v>155</v>
      </c>
      <c r="BV18" s="12" t="s">
        <v>179</v>
      </c>
      <c r="CF18" s="12" t="s">
        <v>180</v>
      </c>
      <c r="CS18" s="12" t="s">
        <v>227</v>
      </c>
      <c r="DA18" s="12">
        <v>1</v>
      </c>
      <c r="DB18" s="12">
        <v>2</v>
      </c>
      <c r="DF18" t="s">
        <v>178</v>
      </c>
      <c r="DN18" s="12" t="b">
        <v>0</v>
      </c>
      <c r="DV18">
        <f t="shared" ref="DV18:DV19" si="15">IF(AA20="Horizontal",1,0.5)</f>
        <v>1</v>
      </c>
    </row>
    <row r="19" spans="1:131" hidden="1" x14ac:dyDescent="0.25">
      <c r="A19" t="s">
        <v>237</v>
      </c>
      <c r="B19" t="s">
        <v>130</v>
      </c>
      <c r="C19" t="s">
        <v>131</v>
      </c>
      <c r="D19" t="s">
        <v>189</v>
      </c>
      <c r="E19" t="s">
        <v>190</v>
      </c>
      <c r="F19" t="s">
        <v>238</v>
      </c>
      <c r="G19" t="s">
        <v>165</v>
      </c>
      <c r="H19" t="s">
        <v>166</v>
      </c>
      <c r="I19" t="s">
        <v>165</v>
      </c>
      <c r="L19" t="s">
        <v>224</v>
      </c>
      <c r="M19" t="s">
        <v>137</v>
      </c>
      <c r="N19" t="b">
        <v>0</v>
      </c>
      <c r="P19" s="12"/>
      <c r="Q19" s="12"/>
      <c r="R19" s="12"/>
      <c r="S19" t="s">
        <v>225</v>
      </c>
      <c r="T19" s="12" t="s">
        <v>168</v>
      </c>
      <c r="U19" s="12"/>
      <c r="V19" t="s">
        <v>225</v>
      </c>
      <c r="Z19" s="12">
        <v>120</v>
      </c>
      <c r="AA19" s="12" t="s">
        <v>169</v>
      </c>
      <c r="AB19" s="12"/>
      <c r="AC19" t="s">
        <v>225</v>
      </c>
      <c r="AD19" s="12"/>
      <c r="AE19" s="12" t="s">
        <v>144</v>
      </c>
      <c r="AF19" s="12" t="s">
        <v>171</v>
      </c>
      <c r="AG19" s="13" t="s">
        <v>172</v>
      </c>
      <c r="AH19" s="12" t="s">
        <v>173</v>
      </c>
      <c r="AI19" s="12" t="s">
        <v>145</v>
      </c>
      <c r="AJ19" s="12" t="s">
        <v>146</v>
      </c>
      <c r="AK19" s="12" t="s">
        <v>226</v>
      </c>
      <c r="AL19" s="12" t="s">
        <v>174</v>
      </c>
      <c r="AM19" s="12"/>
      <c r="AO19" s="12">
        <v>0</v>
      </c>
      <c r="AQ19" s="12" t="b">
        <v>0</v>
      </c>
      <c r="BR19" s="12" t="s">
        <v>155</v>
      </c>
      <c r="BV19" s="12" t="s">
        <v>179</v>
      </c>
      <c r="CF19" s="12" t="s">
        <v>180</v>
      </c>
      <c r="CS19" s="12" t="s">
        <v>227</v>
      </c>
      <c r="DA19" s="12">
        <v>1</v>
      </c>
      <c r="DB19" s="12">
        <v>2</v>
      </c>
      <c r="DF19" t="s">
        <v>178</v>
      </c>
      <c r="DN19" s="12" t="b">
        <v>0</v>
      </c>
      <c r="DV19">
        <f t="shared" si="15"/>
        <v>0.5</v>
      </c>
    </row>
    <row r="20" spans="1:131" hidden="1" x14ac:dyDescent="0.25">
      <c r="A20" t="s">
        <v>239</v>
      </c>
      <c r="B20" t="s">
        <v>130</v>
      </c>
      <c r="C20" t="s">
        <v>131</v>
      </c>
      <c r="D20" t="s">
        <v>189</v>
      </c>
      <c r="E20" t="s">
        <v>190</v>
      </c>
      <c r="F20" t="s">
        <v>240</v>
      </c>
      <c r="G20" t="s">
        <v>165</v>
      </c>
      <c r="H20" t="s">
        <v>166</v>
      </c>
      <c r="I20" t="s">
        <v>165</v>
      </c>
      <c r="L20" t="s">
        <v>224</v>
      </c>
      <c r="M20" t="s">
        <v>137</v>
      </c>
      <c r="N20" t="b">
        <v>0</v>
      </c>
      <c r="P20" s="12" t="s">
        <v>230</v>
      </c>
      <c r="Q20" s="12" t="s">
        <v>230</v>
      </c>
      <c r="R20" s="12">
        <v>210</v>
      </c>
      <c r="S20" t="s">
        <v>148</v>
      </c>
      <c r="T20" s="12" t="s">
        <v>168</v>
      </c>
      <c r="U20" s="12">
        <v>53</v>
      </c>
      <c r="V20" t="s">
        <v>148</v>
      </c>
      <c r="Z20" s="12">
        <v>120</v>
      </c>
      <c r="AA20" s="12" t="s">
        <v>169</v>
      </c>
      <c r="AB20" s="12">
        <v>125</v>
      </c>
      <c r="AC20" t="s">
        <v>148</v>
      </c>
      <c r="AD20" s="12" t="s">
        <v>170</v>
      </c>
      <c r="AE20" s="12" t="s">
        <v>144</v>
      </c>
      <c r="AF20" s="12" t="s">
        <v>171</v>
      </c>
      <c r="AG20" s="13" t="s">
        <v>172</v>
      </c>
      <c r="AH20" s="12" t="s">
        <v>173</v>
      </c>
      <c r="AI20" s="12" t="s">
        <v>145</v>
      </c>
      <c r="AJ20" s="12" t="s">
        <v>146</v>
      </c>
      <c r="AK20" s="12" t="s">
        <v>226</v>
      </c>
      <c r="AL20" s="12" t="s">
        <v>174</v>
      </c>
      <c r="AM20" s="12">
        <v>56</v>
      </c>
      <c r="AN20" t="s">
        <v>175</v>
      </c>
      <c r="AO20" s="12">
        <v>0</v>
      </c>
      <c r="AQ20" s="12" t="b">
        <v>0</v>
      </c>
      <c r="AR20" s="14" t="s">
        <v>177</v>
      </c>
      <c r="BR20" s="12" t="s">
        <v>155</v>
      </c>
      <c r="BV20" s="12" t="s">
        <v>179</v>
      </c>
      <c r="CF20" s="12" t="s">
        <v>180</v>
      </c>
      <c r="CS20" s="12" t="s">
        <v>227</v>
      </c>
      <c r="DA20" s="12">
        <v>1</v>
      </c>
      <c r="DB20" s="12">
        <v>2</v>
      </c>
      <c r="DN20" s="12" t="b">
        <v>0</v>
      </c>
      <c r="DQ20">
        <f>IF(T20="Tapered/Spherical",1,0)</f>
        <v>1</v>
      </c>
      <c r="DR20">
        <f>IF(AE20="125°F (51.7°C) - 150°F (65.6°C)",1,0.5)</f>
        <v>1</v>
      </c>
      <c r="DS20" cm="1">
        <f t="array" ref="DS20">IF(AF20="&lt;0.2 ips",1,O.5)</f>
        <v>1</v>
      </c>
      <c r="DT20">
        <v>0.2</v>
      </c>
      <c r="DU20">
        <v>0.7</v>
      </c>
      <c r="DV20">
        <v>1</v>
      </c>
      <c r="DW20">
        <v>0.9</v>
      </c>
      <c r="DX20">
        <f>PRODUCT(DQ20:DV20)</f>
        <v>0.13999999999999999</v>
      </c>
      <c r="DY20">
        <f>+DX20*((14000000/(Z20*AB20^0.5))-4*AB20)</f>
        <v>1390.8977452998622</v>
      </c>
      <c r="DZ20">
        <f>+DY20/8760</f>
        <v>0.15877828142692491</v>
      </c>
      <c r="EA20">
        <f>ROUND(+DZ20*12,1)</f>
        <v>1.9</v>
      </c>
    </row>
    <row r="21" spans="1:131" hidden="1" x14ac:dyDescent="0.25">
      <c r="A21" t="s">
        <v>241</v>
      </c>
      <c r="B21" t="s">
        <v>130</v>
      </c>
      <c r="C21" t="s">
        <v>131</v>
      </c>
      <c r="D21" t="s">
        <v>242</v>
      </c>
      <c r="E21" t="s">
        <v>243</v>
      </c>
      <c r="F21" t="s">
        <v>191</v>
      </c>
      <c r="G21" t="s">
        <v>192</v>
      </c>
      <c r="H21" t="s">
        <v>193</v>
      </c>
      <c r="I21" t="s">
        <v>194</v>
      </c>
      <c r="M21" t="s">
        <v>137</v>
      </c>
      <c r="N21" t="b">
        <v>0</v>
      </c>
      <c r="AY21" s="12"/>
      <c r="AZ21" t="s">
        <v>195</v>
      </c>
      <c r="BV21" s="12"/>
      <c r="DB21" s="12">
        <v>1</v>
      </c>
      <c r="DD21" s="12"/>
      <c r="DG21" s="12" t="s">
        <v>196</v>
      </c>
      <c r="DV21">
        <f t="shared" ref="DV21:DV22" si="16">IF(AA23="Horizontal",1,0.5)</f>
        <v>1</v>
      </c>
    </row>
    <row r="22" spans="1:131" hidden="1" x14ac:dyDescent="0.25">
      <c r="A22" t="s">
        <v>244</v>
      </c>
      <c r="B22" t="s">
        <v>130</v>
      </c>
      <c r="C22" t="s">
        <v>131</v>
      </c>
      <c r="D22" t="s">
        <v>242</v>
      </c>
      <c r="E22" t="s">
        <v>243</v>
      </c>
      <c r="F22" t="s">
        <v>198</v>
      </c>
      <c r="G22" t="s">
        <v>192</v>
      </c>
      <c r="H22" t="s">
        <v>193</v>
      </c>
      <c r="I22" t="s">
        <v>194</v>
      </c>
      <c r="M22" t="s">
        <v>137</v>
      </c>
      <c r="N22" t="b">
        <v>0</v>
      </c>
      <c r="AY22" s="12"/>
      <c r="AZ22" t="s">
        <v>195</v>
      </c>
      <c r="BV22" s="12"/>
      <c r="DB22" s="12">
        <v>1</v>
      </c>
      <c r="DD22" s="12"/>
      <c r="DG22" s="12" t="s">
        <v>196</v>
      </c>
      <c r="DV22">
        <f t="shared" si="16"/>
        <v>1</v>
      </c>
    </row>
    <row r="23" spans="1:131" hidden="1" x14ac:dyDescent="0.25">
      <c r="A23" t="s">
        <v>245</v>
      </c>
      <c r="B23" t="s">
        <v>130</v>
      </c>
      <c r="C23" t="s">
        <v>131</v>
      </c>
      <c r="D23" t="s">
        <v>242</v>
      </c>
      <c r="E23" t="s">
        <v>243</v>
      </c>
      <c r="F23" t="s">
        <v>200</v>
      </c>
      <c r="G23" t="s">
        <v>201</v>
      </c>
      <c r="H23" t="s">
        <v>202</v>
      </c>
      <c r="I23" t="s">
        <v>201</v>
      </c>
      <c r="M23" t="s">
        <v>137</v>
      </c>
      <c r="N23" t="b">
        <v>0</v>
      </c>
      <c r="P23" s="12"/>
      <c r="Q23" s="12"/>
      <c r="T23" t="s">
        <v>203</v>
      </c>
      <c r="X23" s="12" t="s">
        <v>204</v>
      </c>
      <c r="Y23" s="12">
        <v>132</v>
      </c>
      <c r="Z23" s="12">
        <v>1500</v>
      </c>
      <c r="AA23" s="12" t="s">
        <v>169</v>
      </c>
      <c r="AB23">
        <v>60</v>
      </c>
      <c r="AC23" t="s">
        <v>148</v>
      </c>
      <c r="AE23" s="12" t="s">
        <v>205</v>
      </c>
      <c r="AF23" s="12" t="s">
        <v>171</v>
      </c>
      <c r="AI23" s="12" t="s">
        <v>206</v>
      </c>
      <c r="AJ23" s="12" t="s">
        <v>207</v>
      </c>
      <c r="AK23" s="12" t="s">
        <v>208</v>
      </c>
      <c r="AL23" s="12" t="s">
        <v>209</v>
      </c>
      <c r="AM23" s="12">
        <v>21</v>
      </c>
      <c r="AN23" t="s">
        <v>175</v>
      </c>
      <c r="AO23" s="12">
        <v>6</v>
      </c>
      <c r="AP23" t="s">
        <v>176</v>
      </c>
      <c r="AQ23" s="12" t="b">
        <v>1</v>
      </c>
      <c r="AR23" s="12" t="str">
        <f>HYPERLINK("https://www.google.com/search?q=Siemens","Siemens")</f>
        <v>Siemens</v>
      </c>
      <c r="BR23" s="12" t="s">
        <v>155</v>
      </c>
      <c r="BV23" s="12" t="s">
        <v>210</v>
      </c>
      <c r="CF23" s="12" t="s">
        <v>187</v>
      </c>
      <c r="CS23" s="12" t="s">
        <v>181</v>
      </c>
      <c r="DA23" s="12">
        <v>2</v>
      </c>
      <c r="DN23" s="12" t="b">
        <v>0</v>
      </c>
      <c r="DQ23">
        <f t="shared" ref="DQ23:DQ25" si="17">IF(T23="Ball",10,0)</f>
        <v>10</v>
      </c>
      <c r="DR23">
        <f t="shared" ref="DR23:DR25" si="18">IF(AE23="125°F (51.7°C) - 150°F (65.6°C)",1,0.5)</f>
        <v>0.5</v>
      </c>
      <c r="DS23" cm="1">
        <f t="array" ref="DS23">IF(AF23="&lt;0.2 ips",1,O.5)</f>
        <v>1</v>
      </c>
      <c r="DT23">
        <v>0.2</v>
      </c>
      <c r="DU23">
        <v>0.4</v>
      </c>
      <c r="DV23">
        <v>1</v>
      </c>
      <c r="DW23">
        <v>1</v>
      </c>
      <c r="DX23">
        <f t="shared" ref="DX23:DX25" si="19">PRODUCT(DQ23:DV23)</f>
        <v>0.4</v>
      </c>
      <c r="DY23">
        <f t="shared" ref="DY23:DY25" si="20">+DX23*((14000000/(Z23*AB23^0.5))-4*AB23)</f>
        <v>385.97126086136745</v>
      </c>
      <c r="DZ23">
        <f t="shared" ref="DZ23:DZ25" si="21">+DY23/8760</f>
        <v>4.406064621705108E-2</v>
      </c>
      <c r="EA23">
        <f t="shared" ref="EA23:EA25" si="22">ROUND(+DZ23*12,1)</f>
        <v>0.5</v>
      </c>
    </row>
    <row r="24" spans="1:131" hidden="1" x14ac:dyDescent="0.25">
      <c r="A24" t="s">
        <v>246</v>
      </c>
      <c r="B24" t="s">
        <v>130</v>
      </c>
      <c r="C24" t="s">
        <v>131</v>
      </c>
      <c r="D24" t="s">
        <v>242</v>
      </c>
      <c r="E24" t="s">
        <v>243</v>
      </c>
      <c r="F24" t="s">
        <v>200</v>
      </c>
      <c r="G24" t="s">
        <v>201</v>
      </c>
      <c r="H24" t="s">
        <v>212</v>
      </c>
      <c r="I24" t="s">
        <v>201</v>
      </c>
      <c r="M24" t="s">
        <v>137</v>
      </c>
      <c r="N24" t="b">
        <v>0</v>
      </c>
      <c r="P24" s="12"/>
      <c r="Q24" s="12"/>
      <c r="T24" t="s">
        <v>203</v>
      </c>
      <c r="X24" s="12" t="s">
        <v>204</v>
      </c>
      <c r="Y24" s="12">
        <v>132</v>
      </c>
      <c r="Z24" s="12">
        <v>1500</v>
      </c>
      <c r="AA24" s="12" t="s">
        <v>169</v>
      </c>
      <c r="AB24">
        <v>60</v>
      </c>
      <c r="AC24" t="s">
        <v>148</v>
      </c>
      <c r="AE24" s="12" t="s">
        <v>205</v>
      </c>
      <c r="AF24" s="12" t="s">
        <v>171</v>
      </c>
      <c r="AI24" s="12" t="s">
        <v>206</v>
      </c>
      <c r="AJ24" s="12" t="s">
        <v>207</v>
      </c>
      <c r="AK24" s="12" t="s">
        <v>208</v>
      </c>
      <c r="AL24" s="12" t="s">
        <v>209</v>
      </c>
      <c r="AM24" s="12">
        <v>21</v>
      </c>
      <c r="AN24" t="s">
        <v>175</v>
      </c>
      <c r="AO24" s="12">
        <v>6</v>
      </c>
      <c r="AP24" t="s">
        <v>176</v>
      </c>
      <c r="AQ24" s="12" t="b">
        <v>1</v>
      </c>
      <c r="AR24" s="12" t="str">
        <f>HYPERLINK("https://www.google.com/search?q=Siemens","Siemens")</f>
        <v>Siemens</v>
      </c>
      <c r="BR24" s="12" t="s">
        <v>155</v>
      </c>
      <c r="BV24" s="12" t="s">
        <v>210</v>
      </c>
      <c r="CF24" s="12" t="s">
        <v>187</v>
      </c>
      <c r="CS24" s="12" t="s">
        <v>181</v>
      </c>
      <c r="DA24" s="12">
        <v>2</v>
      </c>
      <c r="DN24" s="12" t="b">
        <v>0</v>
      </c>
      <c r="DQ24">
        <f t="shared" si="17"/>
        <v>10</v>
      </c>
      <c r="DR24">
        <f t="shared" si="18"/>
        <v>0.5</v>
      </c>
      <c r="DS24" cm="1">
        <f t="array" ref="DS24">IF(AF24="&lt;0.2 ips",1,O.5)</f>
        <v>1</v>
      </c>
      <c r="DT24">
        <v>0.2</v>
      </c>
      <c r="DU24">
        <v>0.4</v>
      </c>
      <c r="DV24">
        <v>1</v>
      </c>
      <c r="DW24">
        <v>1</v>
      </c>
      <c r="DX24">
        <f t="shared" si="19"/>
        <v>0.4</v>
      </c>
      <c r="DY24">
        <f t="shared" si="20"/>
        <v>385.97126086136745</v>
      </c>
      <c r="DZ24">
        <f t="shared" si="21"/>
        <v>4.406064621705108E-2</v>
      </c>
      <c r="EA24">
        <f t="shared" si="22"/>
        <v>0.5</v>
      </c>
    </row>
    <row r="25" spans="1:131" hidden="1" x14ac:dyDescent="0.25">
      <c r="A25" t="s">
        <v>247</v>
      </c>
      <c r="B25" t="s">
        <v>130</v>
      </c>
      <c r="C25" t="s">
        <v>131</v>
      </c>
      <c r="D25" t="s">
        <v>242</v>
      </c>
      <c r="E25" t="s">
        <v>243</v>
      </c>
      <c r="F25" t="s">
        <v>214</v>
      </c>
      <c r="G25" t="s">
        <v>201</v>
      </c>
      <c r="H25" t="s">
        <v>166</v>
      </c>
      <c r="I25" t="s">
        <v>201</v>
      </c>
      <c r="M25" t="s">
        <v>137</v>
      </c>
      <c r="N25" t="b">
        <v>0</v>
      </c>
      <c r="P25" s="12"/>
      <c r="Q25" s="12"/>
      <c r="T25" t="s">
        <v>203</v>
      </c>
      <c r="X25" s="12" t="s">
        <v>204</v>
      </c>
      <c r="Y25" s="12">
        <v>132</v>
      </c>
      <c r="Z25" s="12">
        <v>1500</v>
      </c>
      <c r="AA25" s="12" t="s">
        <v>169</v>
      </c>
      <c r="AB25">
        <v>60</v>
      </c>
      <c r="AC25" t="s">
        <v>148</v>
      </c>
      <c r="AE25" s="12" t="s">
        <v>205</v>
      </c>
      <c r="AF25" s="12" t="s">
        <v>171</v>
      </c>
      <c r="AI25" s="12" t="s">
        <v>206</v>
      </c>
      <c r="AJ25" s="12" t="s">
        <v>207</v>
      </c>
      <c r="AK25" s="12" t="s">
        <v>208</v>
      </c>
      <c r="AL25" s="12" t="s">
        <v>209</v>
      </c>
      <c r="AM25" s="12">
        <v>21</v>
      </c>
      <c r="AN25" t="s">
        <v>175</v>
      </c>
      <c r="AO25" s="12">
        <v>6</v>
      </c>
      <c r="AP25" t="s">
        <v>176</v>
      </c>
      <c r="AQ25" s="12" t="b">
        <v>1</v>
      </c>
      <c r="AR25" s="12" t="str">
        <f>HYPERLINK("https://www.google.com/search?q=Siemens","Siemens")</f>
        <v>Siemens</v>
      </c>
      <c r="BR25" s="12" t="s">
        <v>155</v>
      </c>
      <c r="BV25" s="12" t="s">
        <v>210</v>
      </c>
      <c r="CF25" s="12" t="s">
        <v>187</v>
      </c>
      <c r="CS25" s="12" t="s">
        <v>181</v>
      </c>
      <c r="DA25" s="12">
        <v>2</v>
      </c>
      <c r="DN25" s="12" t="b">
        <v>0</v>
      </c>
      <c r="DQ25">
        <f t="shared" si="17"/>
        <v>10</v>
      </c>
      <c r="DR25">
        <f t="shared" si="18"/>
        <v>0.5</v>
      </c>
      <c r="DS25" cm="1">
        <f t="array" ref="DS25">IF(AF25="&lt;0.2 ips",1,O.5)</f>
        <v>1</v>
      </c>
      <c r="DT25">
        <v>0.2</v>
      </c>
      <c r="DU25">
        <v>0.4</v>
      </c>
      <c r="DV25">
        <v>1</v>
      </c>
      <c r="DW25">
        <v>1</v>
      </c>
      <c r="DX25">
        <f t="shared" si="19"/>
        <v>0.4</v>
      </c>
      <c r="DY25">
        <f t="shared" si="20"/>
        <v>385.97126086136745</v>
      </c>
      <c r="DZ25">
        <f t="shared" si="21"/>
        <v>4.406064621705108E-2</v>
      </c>
      <c r="EA25">
        <f t="shared" si="22"/>
        <v>0.5</v>
      </c>
    </row>
    <row r="26" spans="1:131" hidden="1" x14ac:dyDescent="0.25">
      <c r="A26" t="s">
        <v>248</v>
      </c>
      <c r="B26" t="s">
        <v>130</v>
      </c>
      <c r="C26" t="s">
        <v>131</v>
      </c>
      <c r="D26" t="s">
        <v>242</v>
      </c>
      <c r="E26" t="s">
        <v>243</v>
      </c>
      <c r="F26" t="s">
        <v>217</v>
      </c>
      <c r="G26" t="s">
        <v>140</v>
      </c>
      <c r="H26" t="s">
        <v>141</v>
      </c>
      <c r="I26" t="s">
        <v>142</v>
      </c>
      <c r="M26" t="s">
        <v>137</v>
      </c>
      <c r="N26" t="b">
        <v>0</v>
      </c>
      <c r="Y26" s="12"/>
      <c r="AE26" s="12" t="s">
        <v>144</v>
      </c>
      <c r="AI26" s="12" t="s">
        <v>145</v>
      </c>
      <c r="AJ26" s="12" t="s">
        <v>146</v>
      </c>
      <c r="AK26" s="12" t="s">
        <v>147</v>
      </c>
      <c r="AR26" s="12" t="str">
        <f>HYPERLINK("https://www.google.com/search?q=","")</f>
        <v/>
      </c>
      <c r="AS26">
        <v>670</v>
      </c>
      <c r="AT26" t="s">
        <v>148</v>
      </c>
      <c r="AU26">
        <v>350</v>
      </c>
      <c r="AV26" t="s">
        <v>148</v>
      </c>
      <c r="AW26">
        <v>1100</v>
      </c>
      <c r="AX26" t="s">
        <v>148</v>
      </c>
      <c r="AY26" s="12">
        <v>45</v>
      </c>
      <c r="AZ26" t="s">
        <v>149</v>
      </c>
      <c r="BF26" s="12" t="s">
        <v>150</v>
      </c>
      <c r="BH26" s="12" t="s">
        <v>151</v>
      </c>
      <c r="BI26" s="12" t="s">
        <v>152</v>
      </c>
      <c r="BL26" s="12" t="s">
        <v>153</v>
      </c>
      <c r="BN26" s="12" t="s">
        <v>154</v>
      </c>
      <c r="BP26" s="12" t="s">
        <v>155</v>
      </c>
      <c r="BT26" s="12" t="s">
        <v>156</v>
      </c>
      <c r="BV26" s="12" t="s">
        <v>157</v>
      </c>
      <c r="BY26" s="12" t="s">
        <v>155</v>
      </c>
      <c r="CA26" s="12" t="s">
        <v>218</v>
      </c>
      <c r="CD26" s="12">
        <v>320</v>
      </c>
      <c r="CE26" t="s">
        <v>148</v>
      </c>
      <c r="CH26" s="12" t="s">
        <v>159</v>
      </c>
      <c r="CU26" s="12" t="s">
        <v>159</v>
      </c>
      <c r="DC26" s="12" t="b">
        <v>1</v>
      </c>
      <c r="DD26" s="12" t="s">
        <v>219</v>
      </c>
      <c r="DG26" s="12" t="s">
        <v>161</v>
      </c>
      <c r="DL26" t="s">
        <v>162</v>
      </c>
      <c r="DV26">
        <f t="shared" ref="DV26:DV28" si="23">IF(AA28="Horizontal",1,0.5)</f>
        <v>1</v>
      </c>
    </row>
    <row r="27" spans="1:131" hidden="1" x14ac:dyDescent="0.25">
      <c r="A27" t="s">
        <v>249</v>
      </c>
      <c r="B27" t="s">
        <v>130</v>
      </c>
      <c r="C27" t="s">
        <v>131</v>
      </c>
      <c r="D27" t="s">
        <v>242</v>
      </c>
      <c r="E27" t="s">
        <v>243</v>
      </c>
      <c r="F27" t="s">
        <v>221</v>
      </c>
      <c r="G27" t="s">
        <v>140</v>
      </c>
      <c r="H27" t="s">
        <v>141</v>
      </c>
      <c r="I27" t="s">
        <v>142</v>
      </c>
      <c r="M27" t="s">
        <v>137</v>
      </c>
      <c r="N27" t="b">
        <v>0</v>
      </c>
      <c r="Y27" s="12"/>
      <c r="AE27" s="12" t="s">
        <v>144</v>
      </c>
      <c r="AI27" s="12" t="s">
        <v>145</v>
      </c>
      <c r="AJ27" s="12" t="s">
        <v>146</v>
      </c>
      <c r="AK27" s="12" t="s">
        <v>147</v>
      </c>
      <c r="AR27" s="12" t="str">
        <f>HYPERLINK("https://www.google.com/search?q=","")</f>
        <v/>
      </c>
      <c r="AS27">
        <v>670</v>
      </c>
      <c r="AT27" t="s">
        <v>148</v>
      </c>
      <c r="AU27">
        <v>350</v>
      </c>
      <c r="AV27" t="s">
        <v>148</v>
      </c>
      <c r="AW27">
        <v>1100</v>
      </c>
      <c r="AX27" t="s">
        <v>148</v>
      </c>
      <c r="AY27" s="12">
        <v>45</v>
      </c>
      <c r="AZ27" t="s">
        <v>149</v>
      </c>
      <c r="BF27" s="12" t="s">
        <v>150</v>
      </c>
      <c r="BH27" s="12" t="s">
        <v>151</v>
      </c>
      <c r="BI27" s="12" t="s">
        <v>152</v>
      </c>
      <c r="BL27" s="12" t="s">
        <v>153</v>
      </c>
      <c r="BN27" s="12" t="s">
        <v>154</v>
      </c>
      <c r="BP27" s="12" t="s">
        <v>155</v>
      </c>
      <c r="BT27" s="12" t="s">
        <v>156</v>
      </c>
      <c r="BV27" s="12" t="s">
        <v>157</v>
      </c>
      <c r="BY27" s="12" t="s">
        <v>155</v>
      </c>
      <c r="CA27" s="12" t="s">
        <v>218</v>
      </c>
      <c r="CD27" s="12">
        <v>320</v>
      </c>
      <c r="CE27" t="s">
        <v>148</v>
      </c>
      <c r="CH27" s="12" t="s">
        <v>159</v>
      </c>
      <c r="CU27" s="12" t="s">
        <v>159</v>
      </c>
      <c r="DC27" s="12" t="b">
        <v>1</v>
      </c>
      <c r="DD27" s="12" t="s">
        <v>219</v>
      </c>
      <c r="DG27" s="12" t="s">
        <v>161</v>
      </c>
      <c r="DL27" t="s">
        <v>162</v>
      </c>
      <c r="DV27">
        <f t="shared" si="23"/>
        <v>1</v>
      </c>
    </row>
    <row r="28" spans="1:131" hidden="1" x14ac:dyDescent="0.25">
      <c r="A28" t="s">
        <v>250</v>
      </c>
      <c r="B28" t="s">
        <v>130</v>
      </c>
      <c r="C28" t="s">
        <v>131</v>
      </c>
      <c r="D28" t="s">
        <v>242</v>
      </c>
      <c r="E28" t="s">
        <v>243</v>
      </c>
      <c r="F28" t="s">
        <v>223</v>
      </c>
      <c r="G28" t="s">
        <v>165</v>
      </c>
      <c r="H28" t="s">
        <v>166</v>
      </c>
      <c r="I28" t="s">
        <v>165</v>
      </c>
      <c r="L28" t="s">
        <v>224</v>
      </c>
      <c r="M28" t="s">
        <v>137</v>
      </c>
      <c r="N28" t="b">
        <v>0</v>
      </c>
      <c r="P28" s="12"/>
      <c r="Q28" s="12"/>
      <c r="R28" s="12"/>
      <c r="S28" t="s">
        <v>225</v>
      </c>
      <c r="T28" s="12" t="s">
        <v>168</v>
      </c>
      <c r="U28" s="12"/>
      <c r="V28" t="s">
        <v>225</v>
      </c>
      <c r="Z28" s="12">
        <v>120</v>
      </c>
      <c r="AA28" s="12" t="s">
        <v>169</v>
      </c>
      <c r="AB28" s="12"/>
      <c r="AC28" t="s">
        <v>225</v>
      </c>
      <c r="AD28" s="12"/>
      <c r="AE28" s="12" t="s">
        <v>144</v>
      </c>
      <c r="AF28" s="12" t="s">
        <v>171</v>
      </c>
      <c r="AG28" s="13" t="s">
        <v>172</v>
      </c>
      <c r="AH28" s="12" t="s">
        <v>173</v>
      </c>
      <c r="AI28" s="12" t="s">
        <v>145</v>
      </c>
      <c r="AJ28" s="12" t="s">
        <v>146</v>
      </c>
      <c r="AK28" s="12" t="s">
        <v>226</v>
      </c>
      <c r="AL28" s="12" t="s">
        <v>174</v>
      </c>
      <c r="AM28" s="12"/>
      <c r="AO28" s="12">
        <v>0</v>
      </c>
      <c r="AQ28" s="12" t="b">
        <v>0</v>
      </c>
      <c r="BR28" s="12" t="s">
        <v>155</v>
      </c>
      <c r="BV28" s="12" t="s">
        <v>179</v>
      </c>
      <c r="CF28" s="12" t="s">
        <v>180</v>
      </c>
      <c r="CS28" s="12" t="s">
        <v>227</v>
      </c>
      <c r="DA28" s="12">
        <v>1</v>
      </c>
      <c r="DB28" s="12">
        <v>2</v>
      </c>
      <c r="DF28" t="s">
        <v>178</v>
      </c>
      <c r="DN28" s="12" t="b">
        <v>0</v>
      </c>
      <c r="DV28">
        <f t="shared" si="23"/>
        <v>1</v>
      </c>
    </row>
    <row r="29" spans="1:131" hidden="1" x14ac:dyDescent="0.25">
      <c r="A29" t="s">
        <v>251</v>
      </c>
      <c r="B29" t="s">
        <v>130</v>
      </c>
      <c r="C29" t="s">
        <v>131</v>
      </c>
      <c r="D29" t="s">
        <v>242</v>
      </c>
      <c r="E29" t="s">
        <v>243</v>
      </c>
      <c r="F29" t="s">
        <v>229</v>
      </c>
      <c r="G29" t="s">
        <v>165</v>
      </c>
      <c r="H29" t="s">
        <v>166</v>
      </c>
      <c r="I29" t="s">
        <v>165</v>
      </c>
      <c r="L29" t="s">
        <v>224</v>
      </c>
      <c r="M29" t="s">
        <v>137</v>
      </c>
      <c r="N29" t="b">
        <v>0</v>
      </c>
      <c r="P29" s="12" t="s">
        <v>185</v>
      </c>
      <c r="Q29" s="12" t="s">
        <v>185</v>
      </c>
      <c r="R29" s="12">
        <v>210</v>
      </c>
      <c r="S29" t="s">
        <v>148</v>
      </c>
      <c r="T29" s="12" t="s">
        <v>168</v>
      </c>
      <c r="U29" s="12">
        <v>53</v>
      </c>
      <c r="V29" t="s">
        <v>148</v>
      </c>
      <c r="Z29" s="12">
        <v>120</v>
      </c>
      <c r="AA29" s="12" t="s">
        <v>169</v>
      </c>
      <c r="AB29" s="12">
        <v>140</v>
      </c>
      <c r="AC29" t="s">
        <v>148</v>
      </c>
      <c r="AD29" s="12" t="s">
        <v>170</v>
      </c>
      <c r="AE29" s="12" t="s">
        <v>144</v>
      </c>
      <c r="AF29" s="12" t="s">
        <v>171</v>
      </c>
      <c r="AG29" s="13" t="s">
        <v>172</v>
      </c>
      <c r="AH29" s="12" t="s">
        <v>173</v>
      </c>
      <c r="AI29" s="12" t="s">
        <v>145</v>
      </c>
      <c r="AJ29" s="12" t="s">
        <v>146</v>
      </c>
      <c r="AK29" s="12" t="s">
        <v>226</v>
      </c>
      <c r="AL29" s="12" t="s">
        <v>174</v>
      </c>
      <c r="AM29" s="12">
        <v>56</v>
      </c>
      <c r="AN29" t="s">
        <v>175</v>
      </c>
      <c r="AO29" s="12">
        <v>0</v>
      </c>
      <c r="AQ29" s="12" t="b">
        <v>0</v>
      </c>
      <c r="AR29" s="14" t="s">
        <v>177</v>
      </c>
      <c r="BR29" s="12" t="s">
        <v>178</v>
      </c>
      <c r="BV29" s="12" t="s">
        <v>179</v>
      </c>
      <c r="CF29" s="12" t="s">
        <v>180</v>
      </c>
      <c r="CS29" s="12" t="s">
        <v>227</v>
      </c>
      <c r="DA29" s="12">
        <v>1</v>
      </c>
      <c r="DB29" s="12">
        <v>2</v>
      </c>
      <c r="DN29" s="12" t="b">
        <v>0</v>
      </c>
      <c r="DQ29">
        <f t="shared" ref="DQ29:DQ35" si="24">IF(T29="Tapered/Spherical",1,0)</f>
        <v>1</v>
      </c>
      <c r="DR29">
        <f t="shared" ref="DR29:DR44" si="25">IF(AE29="125°F (51.7°C) - 150°F (65.6°C)",1,0.5)</f>
        <v>1</v>
      </c>
      <c r="DS29" cm="1">
        <f t="array" ref="DS29">IF(AF29="&lt;0.2 ips",1,O.5)</f>
        <v>1</v>
      </c>
      <c r="DT29">
        <v>0.2</v>
      </c>
      <c r="DU29">
        <v>0.7</v>
      </c>
      <c r="DV29">
        <v>1</v>
      </c>
      <c r="DW29">
        <v>0.9</v>
      </c>
      <c r="DX29">
        <f t="shared" ref="DX29:DX36" si="26">PRODUCT(DQ29:DV29)</f>
        <v>0.13999999999999999</v>
      </c>
      <c r="DY29">
        <f t="shared" ref="DY29:DY36" si="27">+DX29*((14000000/(Z29*AB29^0.5))-4*AB29)</f>
        <v>1302.018616056577</v>
      </c>
      <c r="DZ29">
        <f t="shared" ref="DZ29:DZ36" si="28">+DY29/8760</f>
        <v>0.14863226210691519</v>
      </c>
      <c r="EA29">
        <f t="shared" ref="EA29:EA36" si="29">ROUND(+DZ29*12,1)</f>
        <v>1.8</v>
      </c>
    </row>
    <row r="30" spans="1:131" hidden="1" x14ac:dyDescent="0.25">
      <c r="A30" t="s">
        <v>252</v>
      </c>
      <c r="B30" t="s">
        <v>130</v>
      </c>
      <c r="C30" t="s">
        <v>131</v>
      </c>
      <c r="D30" t="s">
        <v>242</v>
      </c>
      <c r="E30" t="s">
        <v>243</v>
      </c>
      <c r="F30" t="s">
        <v>232</v>
      </c>
      <c r="G30" t="s">
        <v>165</v>
      </c>
      <c r="H30" t="s">
        <v>166</v>
      </c>
      <c r="I30" t="s">
        <v>165</v>
      </c>
      <c r="L30" t="s">
        <v>224</v>
      </c>
      <c r="M30" t="s">
        <v>137</v>
      </c>
      <c r="N30" t="b">
        <v>0</v>
      </c>
      <c r="P30" s="12" t="s">
        <v>185</v>
      </c>
      <c r="Q30" s="12" t="s">
        <v>185</v>
      </c>
      <c r="R30" s="12">
        <v>210</v>
      </c>
      <c r="S30" t="s">
        <v>148</v>
      </c>
      <c r="T30" s="12" t="s">
        <v>168</v>
      </c>
      <c r="U30" s="12">
        <v>53</v>
      </c>
      <c r="V30" t="s">
        <v>148</v>
      </c>
      <c r="Z30" s="12">
        <v>120</v>
      </c>
      <c r="AA30" s="12" t="s">
        <v>169</v>
      </c>
      <c r="AB30" s="12">
        <v>140</v>
      </c>
      <c r="AC30" t="s">
        <v>148</v>
      </c>
      <c r="AD30" s="12" t="s">
        <v>170</v>
      </c>
      <c r="AE30" s="12" t="s">
        <v>144</v>
      </c>
      <c r="AF30" s="12" t="s">
        <v>171</v>
      </c>
      <c r="AG30" s="13" t="s">
        <v>172</v>
      </c>
      <c r="AH30" s="12" t="s">
        <v>173</v>
      </c>
      <c r="AI30" s="12" t="s">
        <v>145</v>
      </c>
      <c r="AJ30" s="12" t="s">
        <v>146</v>
      </c>
      <c r="AK30" s="12" t="s">
        <v>226</v>
      </c>
      <c r="AL30" s="12" t="s">
        <v>174</v>
      </c>
      <c r="AM30" s="12">
        <v>56</v>
      </c>
      <c r="AN30" t="s">
        <v>175</v>
      </c>
      <c r="AO30" s="12">
        <v>0</v>
      </c>
      <c r="AQ30" s="12" t="b">
        <v>0</v>
      </c>
      <c r="AR30" s="14" t="s">
        <v>177</v>
      </c>
      <c r="BR30" s="12" t="s">
        <v>155</v>
      </c>
      <c r="BV30" s="12" t="s">
        <v>179</v>
      </c>
      <c r="CF30" s="12" t="s">
        <v>180</v>
      </c>
      <c r="CS30" s="12" t="s">
        <v>227</v>
      </c>
      <c r="DA30" s="12">
        <v>1</v>
      </c>
      <c r="DB30" s="12">
        <v>2</v>
      </c>
      <c r="DN30" s="12" t="b">
        <v>0</v>
      </c>
      <c r="DQ30">
        <f t="shared" si="24"/>
        <v>1</v>
      </c>
      <c r="DR30">
        <f t="shared" si="25"/>
        <v>1</v>
      </c>
      <c r="DS30" cm="1">
        <f t="array" ref="DS30">IF(AF30="&lt;0.2 ips",1,O.5)</f>
        <v>1</v>
      </c>
      <c r="DT30">
        <v>0.2</v>
      </c>
      <c r="DU30">
        <v>0.7</v>
      </c>
      <c r="DV30">
        <v>1</v>
      </c>
      <c r="DW30">
        <v>0.9</v>
      </c>
      <c r="DX30">
        <f t="shared" si="26"/>
        <v>0.13999999999999999</v>
      </c>
      <c r="DY30">
        <f t="shared" si="27"/>
        <v>1302.018616056577</v>
      </c>
      <c r="DZ30">
        <f t="shared" si="28"/>
        <v>0.14863226210691519</v>
      </c>
      <c r="EA30">
        <f t="shared" si="29"/>
        <v>1.8</v>
      </c>
    </row>
    <row r="31" spans="1:131" hidden="1" x14ac:dyDescent="0.25">
      <c r="A31" t="s">
        <v>253</v>
      </c>
      <c r="B31" t="s">
        <v>130</v>
      </c>
      <c r="C31" t="s">
        <v>131</v>
      </c>
      <c r="D31" t="s">
        <v>242</v>
      </c>
      <c r="E31" t="s">
        <v>243</v>
      </c>
      <c r="F31" t="s">
        <v>234</v>
      </c>
      <c r="G31" t="s">
        <v>165</v>
      </c>
      <c r="H31" t="s">
        <v>166</v>
      </c>
      <c r="I31" t="s">
        <v>165</v>
      </c>
      <c r="L31" t="s">
        <v>224</v>
      </c>
      <c r="M31" t="s">
        <v>137</v>
      </c>
      <c r="N31" t="b">
        <v>0</v>
      </c>
      <c r="P31" s="12" t="s">
        <v>185</v>
      </c>
      <c r="Q31" s="12" t="s">
        <v>185</v>
      </c>
      <c r="R31" s="12">
        <v>210</v>
      </c>
      <c r="S31" t="s">
        <v>148</v>
      </c>
      <c r="T31" s="12" t="s">
        <v>168</v>
      </c>
      <c r="U31" s="12">
        <v>53</v>
      </c>
      <c r="V31" t="s">
        <v>148</v>
      </c>
      <c r="Z31" s="12">
        <v>120</v>
      </c>
      <c r="AA31" s="12" t="s">
        <v>169</v>
      </c>
      <c r="AB31" s="12">
        <v>140</v>
      </c>
      <c r="AC31" t="s">
        <v>148</v>
      </c>
      <c r="AD31" s="12" t="s">
        <v>170</v>
      </c>
      <c r="AE31" s="12" t="s">
        <v>144</v>
      </c>
      <c r="AF31" s="12" t="s">
        <v>171</v>
      </c>
      <c r="AG31" s="13" t="s">
        <v>172</v>
      </c>
      <c r="AH31" s="12" t="s">
        <v>173</v>
      </c>
      <c r="AI31" s="12" t="s">
        <v>145</v>
      </c>
      <c r="AJ31" s="12" t="s">
        <v>146</v>
      </c>
      <c r="AK31" s="12" t="s">
        <v>226</v>
      </c>
      <c r="AL31" s="12" t="s">
        <v>174</v>
      </c>
      <c r="AM31" s="12">
        <v>56</v>
      </c>
      <c r="AN31" t="s">
        <v>175</v>
      </c>
      <c r="AO31" s="12">
        <v>0</v>
      </c>
      <c r="AQ31" s="12" t="b">
        <v>0</v>
      </c>
      <c r="AR31" s="14" t="s">
        <v>177</v>
      </c>
      <c r="BR31" s="12" t="s">
        <v>155</v>
      </c>
      <c r="BV31" s="12" t="s">
        <v>179</v>
      </c>
      <c r="CF31" s="12" t="s">
        <v>180</v>
      </c>
      <c r="CS31" s="12" t="s">
        <v>227</v>
      </c>
      <c r="DA31" s="12">
        <v>1</v>
      </c>
      <c r="DB31" s="12">
        <v>2</v>
      </c>
      <c r="DN31" s="12" t="b">
        <v>0</v>
      </c>
      <c r="DQ31">
        <f t="shared" si="24"/>
        <v>1</v>
      </c>
      <c r="DR31">
        <f t="shared" si="25"/>
        <v>1</v>
      </c>
      <c r="DS31" cm="1">
        <f t="array" ref="DS31">IF(AF31="&lt;0.2 ips",1,O.5)</f>
        <v>1</v>
      </c>
      <c r="DT31">
        <v>0.2</v>
      </c>
      <c r="DU31">
        <v>0.7</v>
      </c>
      <c r="DV31">
        <v>1</v>
      </c>
      <c r="DW31">
        <v>0.9</v>
      </c>
      <c r="DX31">
        <f t="shared" si="26"/>
        <v>0.13999999999999999</v>
      </c>
      <c r="DY31">
        <f t="shared" si="27"/>
        <v>1302.018616056577</v>
      </c>
      <c r="DZ31">
        <f t="shared" si="28"/>
        <v>0.14863226210691519</v>
      </c>
      <c r="EA31">
        <f t="shared" si="29"/>
        <v>1.8</v>
      </c>
    </row>
    <row r="32" spans="1:131" hidden="1" x14ac:dyDescent="0.25">
      <c r="A32" t="s">
        <v>254</v>
      </c>
      <c r="B32" t="s">
        <v>130</v>
      </c>
      <c r="C32" t="s">
        <v>131</v>
      </c>
      <c r="D32" t="s">
        <v>242</v>
      </c>
      <c r="E32" t="s">
        <v>243</v>
      </c>
      <c r="F32" t="s">
        <v>236</v>
      </c>
      <c r="G32" t="s">
        <v>165</v>
      </c>
      <c r="H32" t="s">
        <v>202</v>
      </c>
      <c r="I32" t="s">
        <v>165</v>
      </c>
      <c r="L32" t="s">
        <v>224</v>
      </c>
      <c r="M32" t="s">
        <v>137</v>
      </c>
      <c r="N32" t="b">
        <v>0</v>
      </c>
      <c r="P32" s="12" t="s">
        <v>255</v>
      </c>
      <c r="Q32" s="12" t="s">
        <v>255</v>
      </c>
      <c r="R32" s="12">
        <v>340</v>
      </c>
      <c r="S32" t="s">
        <v>148</v>
      </c>
      <c r="T32" s="12" t="s">
        <v>168</v>
      </c>
      <c r="U32" s="12">
        <v>90</v>
      </c>
      <c r="V32" t="s">
        <v>148</v>
      </c>
      <c r="Z32" s="12">
        <v>120</v>
      </c>
      <c r="AA32" s="12" t="s">
        <v>169</v>
      </c>
      <c r="AB32" s="12">
        <v>100</v>
      </c>
      <c r="AC32" t="s">
        <v>148</v>
      </c>
      <c r="AD32" s="12" t="s">
        <v>170</v>
      </c>
      <c r="AE32" s="12" t="s">
        <v>144</v>
      </c>
      <c r="AF32" s="12" t="s">
        <v>171</v>
      </c>
      <c r="AG32" s="13" t="s">
        <v>172</v>
      </c>
      <c r="AH32" s="12" t="s">
        <v>173</v>
      </c>
      <c r="AI32" s="12" t="s">
        <v>145</v>
      </c>
      <c r="AJ32" s="12" t="s">
        <v>146</v>
      </c>
      <c r="AK32" s="12" t="s">
        <v>226</v>
      </c>
      <c r="AL32" s="12" t="s">
        <v>174</v>
      </c>
      <c r="AM32" s="12">
        <v>153</v>
      </c>
      <c r="AN32" t="s">
        <v>175</v>
      </c>
      <c r="AO32" s="12">
        <v>0</v>
      </c>
      <c r="AQ32" s="12" t="b">
        <v>0</v>
      </c>
      <c r="AR32" s="14" t="s">
        <v>177</v>
      </c>
      <c r="BR32" s="12" t="s">
        <v>155</v>
      </c>
      <c r="BV32" s="12" t="s">
        <v>179</v>
      </c>
      <c r="CF32" s="12" t="s">
        <v>180</v>
      </c>
      <c r="CS32" s="12" t="s">
        <v>227</v>
      </c>
      <c r="DA32" s="12">
        <v>1</v>
      </c>
      <c r="DB32" s="12">
        <v>2</v>
      </c>
      <c r="DN32" s="12" t="b">
        <v>0</v>
      </c>
      <c r="DQ32">
        <f t="shared" si="24"/>
        <v>1</v>
      </c>
      <c r="DR32">
        <f t="shared" si="25"/>
        <v>1</v>
      </c>
      <c r="DS32" cm="1">
        <f t="array" ref="DS32">IF(AF32="&lt;0.2 ips",1,O.5)</f>
        <v>1</v>
      </c>
      <c r="DT32">
        <v>0.2</v>
      </c>
      <c r="DU32">
        <v>0.7</v>
      </c>
      <c r="DV32">
        <v>1</v>
      </c>
      <c r="DW32">
        <v>0.9</v>
      </c>
      <c r="DX32">
        <f t="shared" si="26"/>
        <v>0.13999999999999999</v>
      </c>
      <c r="DY32">
        <f t="shared" si="27"/>
        <v>1577.333333333333</v>
      </c>
      <c r="DZ32">
        <f t="shared" si="28"/>
        <v>0.18006088280060881</v>
      </c>
      <c r="EA32">
        <f t="shared" si="29"/>
        <v>2.2000000000000002</v>
      </c>
    </row>
    <row r="33" spans="1:131" hidden="1" x14ac:dyDescent="0.25">
      <c r="A33" t="s">
        <v>256</v>
      </c>
      <c r="B33" t="s">
        <v>130</v>
      </c>
      <c r="C33" t="s">
        <v>131</v>
      </c>
      <c r="D33" t="s">
        <v>242</v>
      </c>
      <c r="E33" t="s">
        <v>243</v>
      </c>
      <c r="F33" t="s">
        <v>236</v>
      </c>
      <c r="G33" t="s">
        <v>165</v>
      </c>
      <c r="H33" t="s">
        <v>212</v>
      </c>
      <c r="I33" t="s">
        <v>165</v>
      </c>
      <c r="L33" t="s">
        <v>224</v>
      </c>
      <c r="M33" t="s">
        <v>137</v>
      </c>
      <c r="N33" t="b">
        <v>0</v>
      </c>
      <c r="P33" s="12" t="s">
        <v>255</v>
      </c>
      <c r="Q33" s="12" t="s">
        <v>255</v>
      </c>
      <c r="R33" s="12">
        <v>340</v>
      </c>
      <c r="S33" t="s">
        <v>148</v>
      </c>
      <c r="T33" s="12" t="s">
        <v>168</v>
      </c>
      <c r="U33" s="12">
        <v>90</v>
      </c>
      <c r="V33" t="s">
        <v>148</v>
      </c>
      <c r="Z33" s="12">
        <v>120</v>
      </c>
      <c r="AA33" s="12" t="s">
        <v>169</v>
      </c>
      <c r="AB33" s="12">
        <v>100</v>
      </c>
      <c r="AC33" t="s">
        <v>148</v>
      </c>
      <c r="AD33" s="12" t="s">
        <v>170</v>
      </c>
      <c r="AE33" s="12" t="s">
        <v>144</v>
      </c>
      <c r="AF33" s="12" t="s">
        <v>171</v>
      </c>
      <c r="AG33" s="13" t="s">
        <v>172</v>
      </c>
      <c r="AH33" s="12" t="s">
        <v>173</v>
      </c>
      <c r="AI33" s="12" t="s">
        <v>145</v>
      </c>
      <c r="AJ33" s="12" t="s">
        <v>146</v>
      </c>
      <c r="AK33" s="12" t="s">
        <v>226</v>
      </c>
      <c r="AL33" s="12" t="s">
        <v>174</v>
      </c>
      <c r="AM33" s="12">
        <v>153</v>
      </c>
      <c r="AN33" t="s">
        <v>175</v>
      </c>
      <c r="AO33" s="12">
        <v>0</v>
      </c>
      <c r="AP33" t="s">
        <v>186</v>
      </c>
      <c r="AQ33" s="12" t="b">
        <v>0</v>
      </c>
      <c r="BR33" s="12" t="s">
        <v>155</v>
      </c>
      <c r="BV33" s="12" t="s">
        <v>179</v>
      </c>
      <c r="CF33" s="12" t="s">
        <v>180</v>
      </c>
      <c r="CS33" s="12" t="s">
        <v>227</v>
      </c>
      <c r="DA33" s="12">
        <v>1</v>
      </c>
      <c r="DB33" s="12">
        <v>2</v>
      </c>
      <c r="DN33" s="12" t="b">
        <v>0</v>
      </c>
      <c r="DQ33">
        <f t="shared" si="24"/>
        <v>1</v>
      </c>
      <c r="DR33">
        <f t="shared" si="25"/>
        <v>1</v>
      </c>
      <c r="DS33" cm="1">
        <f t="array" ref="DS33">IF(AF33="&lt;0.2 ips",1,O.5)</f>
        <v>1</v>
      </c>
      <c r="DT33">
        <v>0.2</v>
      </c>
      <c r="DU33">
        <v>0.7</v>
      </c>
      <c r="DV33">
        <v>1</v>
      </c>
      <c r="DW33">
        <v>0.9</v>
      </c>
      <c r="DX33">
        <f t="shared" si="26"/>
        <v>0.13999999999999999</v>
      </c>
      <c r="DY33">
        <f t="shared" si="27"/>
        <v>1577.333333333333</v>
      </c>
      <c r="DZ33">
        <f t="shared" si="28"/>
        <v>0.18006088280060881</v>
      </c>
      <c r="EA33">
        <f t="shared" si="29"/>
        <v>2.2000000000000002</v>
      </c>
    </row>
    <row r="34" spans="1:131" hidden="1" x14ac:dyDescent="0.25">
      <c r="A34" t="s">
        <v>257</v>
      </c>
      <c r="B34" t="s">
        <v>130</v>
      </c>
      <c r="C34" t="s">
        <v>131</v>
      </c>
      <c r="D34" t="s">
        <v>242</v>
      </c>
      <c r="E34" t="s">
        <v>243</v>
      </c>
      <c r="F34" t="s">
        <v>238</v>
      </c>
      <c r="G34" t="s">
        <v>165</v>
      </c>
      <c r="H34" t="s">
        <v>166</v>
      </c>
      <c r="I34" t="s">
        <v>165</v>
      </c>
      <c r="L34" t="s">
        <v>224</v>
      </c>
      <c r="M34" t="s">
        <v>137</v>
      </c>
      <c r="N34" t="b">
        <v>0</v>
      </c>
      <c r="P34" s="12" t="s">
        <v>255</v>
      </c>
      <c r="Q34" s="12" t="s">
        <v>255</v>
      </c>
      <c r="R34" s="12">
        <v>340</v>
      </c>
      <c r="S34" t="s">
        <v>148</v>
      </c>
      <c r="T34" s="12" t="s">
        <v>168</v>
      </c>
      <c r="U34" s="12">
        <v>90</v>
      </c>
      <c r="V34" t="s">
        <v>148</v>
      </c>
      <c r="Z34" s="12">
        <v>120</v>
      </c>
      <c r="AA34" s="12" t="s">
        <v>169</v>
      </c>
      <c r="AB34" s="12">
        <v>100</v>
      </c>
      <c r="AC34" t="s">
        <v>148</v>
      </c>
      <c r="AD34" s="12" t="s">
        <v>170</v>
      </c>
      <c r="AE34" s="12" t="s">
        <v>144</v>
      </c>
      <c r="AF34" s="12" t="s">
        <v>171</v>
      </c>
      <c r="AG34" s="13" t="s">
        <v>172</v>
      </c>
      <c r="AH34" s="12" t="s">
        <v>173</v>
      </c>
      <c r="AI34" s="12" t="s">
        <v>145</v>
      </c>
      <c r="AJ34" s="12" t="s">
        <v>146</v>
      </c>
      <c r="AK34" s="12" t="s">
        <v>226</v>
      </c>
      <c r="AL34" s="12" t="s">
        <v>174</v>
      </c>
      <c r="AM34" s="12">
        <v>153</v>
      </c>
      <c r="AN34" t="s">
        <v>175</v>
      </c>
      <c r="AO34" s="12">
        <v>0</v>
      </c>
      <c r="AQ34" s="12" t="b">
        <v>0</v>
      </c>
      <c r="AR34" s="14" t="s">
        <v>177</v>
      </c>
      <c r="BR34" s="12" t="s">
        <v>155</v>
      </c>
      <c r="BV34" s="12" t="s">
        <v>179</v>
      </c>
      <c r="CF34" s="12" t="s">
        <v>180</v>
      </c>
      <c r="CS34" s="12" t="s">
        <v>227</v>
      </c>
      <c r="DA34" s="12">
        <v>1</v>
      </c>
      <c r="DB34" s="12">
        <v>2</v>
      </c>
      <c r="DN34" s="12" t="b">
        <v>0</v>
      </c>
      <c r="DQ34">
        <f t="shared" si="24"/>
        <v>1</v>
      </c>
      <c r="DR34">
        <f t="shared" si="25"/>
        <v>1</v>
      </c>
      <c r="DS34" cm="1">
        <f t="array" ref="DS34">IF(AF34="&lt;0.2 ips",1,O.5)</f>
        <v>1</v>
      </c>
      <c r="DT34">
        <v>0.2</v>
      </c>
      <c r="DU34">
        <v>0.7</v>
      </c>
      <c r="DV34">
        <v>1</v>
      </c>
      <c r="DW34">
        <v>0.9</v>
      </c>
      <c r="DX34">
        <f t="shared" si="26"/>
        <v>0.13999999999999999</v>
      </c>
      <c r="DY34">
        <f t="shared" si="27"/>
        <v>1577.333333333333</v>
      </c>
      <c r="DZ34">
        <f t="shared" si="28"/>
        <v>0.18006088280060881</v>
      </c>
      <c r="EA34">
        <f t="shared" si="29"/>
        <v>2.2000000000000002</v>
      </c>
    </row>
    <row r="35" spans="1:131" hidden="1" x14ac:dyDescent="0.25">
      <c r="A35" t="s">
        <v>258</v>
      </c>
      <c r="B35" t="s">
        <v>130</v>
      </c>
      <c r="C35" t="s">
        <v>131</v>
      </c>
      <c r="D35" t="s">
        <v>242</v>
      </c>
      <c r="E35" t="s">
        <v>243</v>
      </c>
      <c r="F35" t="s">
        <v>240</v>
      </c>
      <c r="G35" t="s">
        <v>165</v>
      </c>
      <c r="H35" t="s">
        <v>166</v>
      </c>
      <c r="I35" t="s">
        <v>165</v>
      </c>
      <c r="L35" t="s">
        <v>224</v>
      </c>
      <c r="M35" t="s">
        <v>137</v>
      </c>
      <c r="N35" t="b">
        <v>0</v>
      </c>
      <c r="P35" s="12" t="s">
        <v>185</v>
      </c>
      <c r="Q35" s="12" t="s">
        <v>185</v>
      </c>
      <c r="R35" s="12">
        <v>210</v>
      </c>
      <c r="S35" t="s">
        <v>148</v>
      </c>
      <c r="T35" s="12" t="s">
        <v>168</v>
      </c>
      <c r="U35" s="12">
        <v>53</v>
      </c>
      <c r="V35" t="s">
        <v>148</v>
      </c>
      <c r="Z35" s="12">
        <v>120</v>
      </c>
      <c r="AA35" s="12" t="s">
        <v>169</v>
      </c>
      <c r="AB35" s="12">
        <v>140</v>
      </c>
      <c r="AC35" t="s">
        <v>148</v>
      </c>
      <c r="AD35" s="12" t="s">
        <v>170</v>
      </c>
      <c r="AE35" s="12" t="s">
        <v>144</v>
      </c>
      <c r="AF35" s="12" t="s">
        <v>171</v>
      </c>
      <c r="AG35" s="13" t="s">
        <v>172</v>
      </c>
      <c r="AH35" s="12" t="s">
        <v>173</v>
      </c>
      <c r="AI35" s="12" t="s">
        <v>145</v>
      </c>
      <c r="AJ35" s="12" t="s">
        <v>146</v>
      </c>
      <c r="AK35" s="12" t="s">
        <v>226</v>
      </c>
      <c r="AL35" s="12" t="s">
        <v>174</v>
      </c>
      <c r="AM35" s="12">
        <v>56</v>
      </c>
      <c r="AN35" t="s">
        <v>175</v>
      </c>
      <c r="AO35" s="12">
        <v>0</v>
      </c>
      <c r="AQ35" s="12" t="b">
        <v>0</v>
      </c>
      <c r="AR35" s="14" t="s">
        <v>177</v>
      </c>
      <c r="BR35" s="12" t="s">
        <v>155</v>
      </c>
      <c r="BV35" s="12" t="s">
        <v>179</v>
      </c>
      <c r="CF35" s="12" t="s">
        <v>180</v>
      </c>
      <c r="CS35" s="12" t="s">
        <v>227</v>
      </c>
      <c r="DA35" s="12">
        <v>1</v>
      </c>
      <c r="DB35" s="12">
        <v>2</v>
      </c>
      <c r="DN35" s="12" t="b">
        <v>0</v>
      </c>
      <c r="DQ35">
        <f t="shared" si="24"/>
        <v>1</v>
      </c>
      <c r="DR35">
        <f t="shared" si="25"/>
        <v>1</v>
      </c>
      <c r="DS35" cm="1">
        <f t="array" ref="DS35">IF(AF35="&lt;0.2 ips",1,O.5)</f>
        <v>1</v>
      </c>
      <c r="DT35">
        <v>0.2</v>
      </c>
      <c r="DU35">
        <v>0.7</v>
      </c>
      <c r="DV35">
        <v>1</v>
      </c>
      <c r="DW35">
        <v>0.9</v>
      </c>
      <c r="DX35">
        <f t="shared" si="26"/>
        <v>0.13999999999999999</v>
      </c>
      <c r="DY35">
        <f t="shared" si="27"/>
        <v>1302.018616056577</v>
      </c>
      <c r="DZ35">
        <f t="shared" si="28"/>
        <v>0.14863226210691519</v>
      </c>
      <c r="EA35">
        <f t="shared" si="29"/>
        <v>1.8</v>
      </c>
    </row>
    <row r="36" spans="1:131" hidden="1" x14ac:dyDescent="0.25">
      <c r="A36" t="s">
        <v>259</v>
      </c>
      <c r="B36" t="s">
        <v>130</v>
      </c>
      <c r="C36" t="s">
        <v>131</v>
      </c>
      <c r="D36" t="s">
        <v>260</v>
      </c>
      <c r="E36" t="s">
        <v>261</v>
      </c>
      <c r="F36" t="s">
        <v>134</v>
      </c>
      <c r="G36" t="s">
        <v>135</v>
      </c>
      <c r="H36" t="s">
        <v>166</v>
      </c>
      <c r="I36" t="s">
        <v>201</v>
      </c>
      <c r="M36" t="s">
        <v>137</v>
      </c>
      <c r="N36" t="b">
        <v>0</v>
      </c>
      <c r="P36" s="12"/>
      <c r="Q36" s="12"/>
      <c r="T36" t="s">
        <v>203</v>
      </c>
      <c r="X36" s="12" t="s">
        <v>262</v>
      </c>
      <c r="Y36" s="12">
        <v>90</v>
      </c>
      <c r="Z36" s="12">
        <v>1500</v>
      </c>
      <c r="AA36" s="12" t="s">
        <v>169</v>
      </c>
      <c r="AB36">
        <v>90</v>
      </c>
      <c r="AC36" t="s">
        <v>148</v>
      </c>
      <c r="AE36" s="12" t="s">
        <v>144</v>
      </c>
      <c r="AF36" s="12" t="s">
        <v>263</v>
      </c>
      <c r="AI36" s="12" t="s">
        <v>145</v>
      </c>
      <c r="AJ36" s="12" t="s">
        <v>146</v>
      </c>
      <c r="AK36" s="12" t="s">
        <v>147</v>
      </c>
      <c r="AL36" s="12" t="s">
        <v>174</v>
      </c>
      <c r="AM36" s="12">
        <v>35</v>
      </c>
      <c r="AN36" t="s">
        <v>175</v>
      </c>
      <c r="AO36" s="12">
        <v>9</v>
      </c>
      <c r="AP36" t="s">
        <v>176</v>
      </c>
      <c r="AQ36" s="12" t="b">
        <v>1</v>
      </c>
      <c r="AR36" s="12" t="str">
        <f>HYPERLINK("https://www.google.com/search?q=","")</f>
        <v/>
      </c>
      <c r="BR36" s="12" t="s">
        <v>155</v>
      </c>
      <c r="BV36" s="12" t="s">
        <v>210</v>
      </c>
      <c r="CF36" s="12" t="s">
        <v>187</v>
      </c>
      <c r="CS36" s="12" t="s">
        <v>227</v>
      </c>
      <c r="DA36" s="12">
        <v>2</v>
      </c>
      <c r="DN36" s="12" t="b">
        <v>0</v>
      </c>
      <c r="DQ36">
        <f>IF(T36="Ball",10,0)</f>
        <v>10</v>
      </c>
      <c r="DR36">
        <f t="shared" si="25"/>
        <v>1</v>
      </c>
      <c r="DS36">
        <v>0.5</v>
      </c>
      <c r="DT36">
        <v>0.2</v>
      </c>
      <c r="DU36">
        <v>1</v>
      </c>
      <c r="DV36">
        <v>1</v>
      </c>
      <c r="DW36">
        <v>0.9</v>
      </c>
      <c r="DX36">
        <f t="shared" si="26"/>
        <v>1</v>
      </c>
      <c r="DY36">
        <f t="shared" si="27"/>
        <v>623.81971649682907</v>
      </c>
      <c r="DZ36">
        <f t="shared" si="28"/>
        <v>7.1212296403747613E-2</v>
      </c>
      <c r="EA36">
        <f t="shared" si="29"/>
        <v>0.9</v>
      </c>
    </row>
    <row r="37" spans="1:131" hidden="1" x14ac:dyDescent="0.25">
      <c r="A37" t="s">
        <v>264</v>
      </c>
      <c r="B37" t="s">
        <v>130</v>
      </c>
      <c r="C37" t="s">
        <v>131</v>
      </c>
      <c r="D37" t="s">
        <v>260</v>
      </c>
      <c r="E37" t="s">
        <v>261</v>
      </c>
      <c r="F37" t="s">
        <v>139</v>
      </c>
      <c r="G37" t="s">
        <v>140</v>
      </c>
      <c r="H37" t="s">
        <v>141</v>
      </c>
      <c r="I37" t="s">
        <v>142</v>
      </c>
      <c r="M37" t="s">
        <v>137</v>
      </c>
      <c r="N37" t="b">
        <v>0</v>
      </c>
      <c r="Y37" s="12">
        <v>90</v>
      </c>
      <c r="AE37" s="12" t="s">
        <v>144</v>
      </c>
      <c r="AI37" s="12" t="s">
        <v>206</v>
      </c>
      <c r="AJ37" s="12" t="s">
        <v>146</v>
      </c>
      <c r="AK37" s="12" t="s">
        <v>147</v>
      </c>
      <c r="AR37" s="12" t="str">
        <f>HYPERLINK("https://www.google.com/search?q=Ralpe RTTH-400","Ralpe RTTH-400")</f>
        <v>Ralpe RTTH-400</v>
      </c>
      <c r="AS37">
        <v>800</v>
      </c>
      <c r="AT37" t="s">
        <v>148</v>
      </c>
      <c r="AU37">
        <v>500</v>
      </c>
      <c r="AV37" t="s">
        <v>148</v>
      </c>
      <c r="AW37">
        <v>1400</v>
      </c>
      <c r="AX37" t="s">
        <v>148</v>
      </c>
      <c r="AY37" s="12">
        <v>170</v>
      </c>
      <c r="AZ37" t="s">
        <v>149</v>
      </c>
      <c r="BF37" s="12" t="s">
        <v>150</v>
      </c>
      <c r="BH37" s="12" t="s">
        <v>151</v>
      </c>
      <c r="BI37" s="12" t="s">
        <v>152</v>
      </c>
      <c r="BL37" s="12" t="s">
        <v>153</v>
      </c>
      <c r="BN37" s="12" t="s">
        <v>154</v>
      </c>
      <c r="BP37" s="12" t="s">
        <v>155</v>
      </c>
      <c r="BT37" s="12" t="s">
        <v>156</v>
      </c>
      <c r="BV37" s="12" t="s">
        <v>157</v>
      </c>
      <c r="BY37" s="12" t="s">
        <v>155</v>
      </c>
      <c r="CA37" s="12" t="s">
        <v>158</v>
      </c>
      <c r="CD37" s="12">
        <v>120</v>
      </c>
      <c r="CE37" t="s">
        <v>148</v>
      </c>
      <c r="CH37" s="12" t="s">
        <v>159</v>
      </c>
      <c r="CU37" s="12" t="s">
        <v>159</v>
      </c>
      <c r="DC37" s="12" t="b">
        <v>1</v>
      </c>
      <c r="DD37" s="12" t="s">
        <v>160</v>
      </c>
      <c r="DG37" s="12" t="s">
        <v>161</v>
      </c>
      <c r="DL37" t="s">
        <v>162</v>
      </c>
      <c r="DV37">
        <f t="shared" ref="DV37" si="30">IF(AA39="Horizontal",1,0.5)</f>
        <v>1</v>
      </c>
    </row>
    <row r="38" spans="1:131" hidden="1" x14ac:dyDescent="0.25">
      <c r="A38" t="s">
        <v>265</v>
      </c>
      <c r="B38" t="s">
        <v>130</v>
      </c>
      <c r="C38" t="s">
        <v>131</v>
      </c>
      <c r="D38" t="s">
        <v>260</v>
      </c>
      <c r="E38" t="s">
        <v>261</v>
      </c>
      <c r="F38" t="s">
        <v>164</v>
      </c>
      <c r="G38" t="s">
        <v>165</v>
      </c>
      <c r="H38" t="s">
        <v>166</v>
      </c>
      <c r="I38" t="s">
        <v>165</v>
      </c>
      <c r="M38" t="s">
        <v>137</v>
      </c>
      <c r="N38" t="b">
        <v>0</v>
      </c>
      <c r="P38" s="12" t="s">
        <v>255</v>
      </c>
      <c r="Q38" s="12" t="s">
        <v>255</v>
      </c>
      <c r="R38" s="12">
        <v>340</v>
      </c>
      <c r="S38" t="s">
        <v>148</v>
      </c>
      <c r="T38" s="12" t="s">
        <v>168</v>
      </c>
      <c r="U38" s="12">
        <v>90</v>
      </c>
      <c r="V38" t="s">
        <v>148</v>
      </c>
      <c r="Z38" s="12">
        <v>120</v>
      </c>
      <c r="AA38" s="12" t="s">
        <v>169</v>
      </c>
      <c r="AB38" s="12">
        <v>100</v>
      </c>
      <c r="AC38" t="s">
        <v>148</v>
      </c>
      <c r="AD38" s="12" t="s">
        <v>170</v>
      </c>
      <c r="AE38" s="12" t="s">
        <v>144</v>
      </c>
      <c r="AF38" s="12" t="s">
        <v>171</v>
      </c>
      <c r="AG38" s="13" t="s">
        <v>172</v>
      </c>
      <c r="AH38" s="12" t="s">
        <v>173</v>
      </c>
      <c r="AI38" s="12" t="s">
        <v>145</v>
      </c>
      <c r="AJ38" s="12" t="s">
        <v>146</v>
      </c>
      <c r="AK38" s="12" t="s">
        <v>147</v>
      </c>
      <c r="AL38" s="12" t="s">
        <v>174</v>
      </c>
      <c r="AM38" s="12">
        <v>153</v>
      </c>
      <c r="AN38" t="s">
        <v>175</v>
      </c>
      <c r="AO38" s="12">
        <v>-1412</v>
      </c>
      <c r="AQ38" s="12" t="b">
        <v>0</v>
      </c>
      <c r="AR38" s="14" t="s">
        <v>177</v>
      </c>
      <c r="BR38" s="12" t="s">
        <v>178</v>
      </c>
      <c r="BV38" s="12" t="s">
        <v>179</v>
      </c>
      <c r="CF38" s="12" t="s">
        <v>180</v>
      </c>
      <c r="CS38" s="12" t="s">
        <v>227</v>
      </c>
      <c r="DA38" s="12">
        <v>1</v>
      </c>
      <c r="DB38" s="12">
        <v>2</v>
      </c>
      <c r="DN38" s="12" t="b">
        <v>0</v>
      </c>
      <c r="DQ38">
        <f t="shared" ref="DQ38:DQ42" si="31">IF(T38="Tapered/Spherical",1,0)</f>
        <v>1</v>
      </c>
      <c r="DR38">
        <f t="shared" si="25"/>
        <v>1</v>
      </c>
      <c r="DS38" cm="1">
        <f t="array" ref="DS38">IF(AF38="&lt;0.2 ips",1,O.5)</f>
        <v>1</v>
      </c>
      <c r="DT38">
        <v>0.2</v>
      </c>
      <c r="DU38">
        <v>1</v>
      </c>
      <c r="DV38">
        <v>1</v>
      </c>
      <c r="DW38">
        <v>0.9</v>
      </c>
      <c r="DX38">
        <f t="shared" ref="DX38:DX44" si="32">PRODUCT(DQ38:DV38)</f>
        <v>0.2</v>
      </c>
      <c r="DY38">
        <f t="shared" ref="DY38:DY44" si="33">+DX38*((14000000/(Z38*AB38^0.5))-4*AB38)</f>
        <v>2253.3333333333335</v>
      </c>
      <c r="DZ38">
        <f t="shared" ref="DZ38:DZ44" si="34">+DY38/8760</f>
        <v>0.25722983257229837</v>
      </c>
      <c r="EA38">
        <f t="shared" ref="EA38:EA44" si="35">ROUND(+DZ38*12,1)</f>
        <v>3.1</v>
      </c>
    </row>
    <row r="39" spans="1:131" hidden="1" x14ac:dyDescent="0.25">
      <c r="A39" t="s">
        <v>266</v>
      </c>
      <c r="B39" t="s">
        <v>130</v>
      </c>
      <c r="C39" t="s">
        <v>131</v>
      </c>
      <c r="D39" t="s">
        <v>260</v>
      </c>
      <c r="E39" t="s">
        <v>261</v>
      </c>
      <c r="F39" t="s">
        <v>267</v>
      </c>
      <c r="G39" t="s">
        <v>165</v>
      </c>
      <c r="H39" t="s">
        <v>166</v>
      </c>
      <c r="I39" t="s">
        <v>165</v>
      </c>
      <c r="M39" t="s">
        <v>137</v>
      </c>
      <c r="N39" t="b">
        <v>0</v>
      </c>
      <c r="P39" s="12" t="s">
        <v>185</v>
      </c>
      <c r="Q39" s="12" t="s">
        <v>185</v>
      </c>
      <c r="R39" s="12">
        <v>210</v>
      </c>
      <c r="S39" t="s">
        <v>148</v>
      </c>
      <c r="T39" s="12" t="s">
        <v>168</v>
      </c>
      <c r="U39" s="12">
        <v>53</v>
      </c>
      <c r="V39" t="s">
        <v>148</v>
      </c>
      <c r="Z39" s="12">
        <v>120</v>
      </c>
      <c r="AA39" s="12" t="s">
        <v>169</v>
      </c>
      <c r="AB39" s="12">
        <v>140</v>
      </c>
      <c r="AC39" t="s">
        <v>148</v>
      </c>
      <c r="AD39" s="12" t="s">
        <v>170</v>
      </c>
      <c r="AE39" s="12" t="s">
        <v>144</v>
      </c>
      <c r="AF39" s="12" t="s">
        <v>171</v>
      </c>
      <c r="AG39" s="13" t="s">
        <v>172</v>
      </c>
      <c r="AH39" s="12" t="s">
        <v>173</v>
      </c>
      <c r="AI39" s="12" t="s">
        <v>145</v>
      </c>
      <c r="AJ39" s="12" t="s">
        <v>146</v>
      </c>
      <c r="AK39" s="12" t="s">
        <v>147</v>
      </c>
      <c r="AL39" s="12" t="s">
        <v>174</v>
      </c>
      <c r="AM39" s="12">
        <v>95</v>
      </c>
      <c r="AN39" t="s">
        <v>175</v>
      </c>
      <c r="AO39" s="12">
        <v>-1412</v>
      </c>
      <c r="AQ39" s="12" t="b">
        <v>0</v>
      </c>
      <c r="AR39" s="14" t="s">
        <v>177</v>
      </c>
      <c r="BR39" s="12" t="s">
        <v>178</v>
      </c>
      <c r="BV39" s="12" t="s">
        <v>179</v>
      </c>
      <c r="CF39" s="12" t="s">
        <v>268</v>
      </c>
      <c r="CS39" s="12" t="s">
        <v>227</v>
      </c>
      <c r="DA39" s="12">
        <v>1</v>
      </c>
      <c r="DB39" s="12">
        <v>2</v>
      </c>
      <c r="DN39" s="12" t="b">
        <v>0</v>
      </c>
      <c r="DQ39">
        <f t="shared" si="31"/>
        <v>1</v>
      </c>
      <c r="DR39">
        <f t="shared" si="25"/>
        <v>1</v>
      </c>
      <c r="DS39" cm="1">
        <f t="array" ref="DS39">IF(AF39="&lt;0.2 ips",1,O.5)</f>
        <v>1</v>
      </c>
      <c r="DT39">
        <v>0.2</v>
      </c>
      <c r="DU39">
        <v>1</v>
      </c>
      <c r="DV39">
        <v>1</v>
      </c>
      <c r="DW39">
        <v>0.9</v>
      </c>
      <c r="DX39">
        <f t="shared" si="32"/>
        <v>0.2</v>
      </c>
      <c r="DY39">
        <f t="shared" si="33"/>
        <v>1860.026594366539</v>
      </c>
      <c r="DZ39">
        <f t="shared" si="34"/>
        <v>0.21233180300987889</v>
      </c>
      <c r="EA39">
        <f t="shared" si="35"/>
        <v>2.5</v>
      </c>
    </row>
    <row r="40" spans="1:131" hidden="1" x14ac:dyDescent="0.25">
      <c r="A40" t="s">
        <v>269</v>
      </c>
      <c r="B40" t="s">
        <v>130</v>
      </c>
      <c r="C40" t="s">
        <v>131</v>
      </c>
      <c r="D40" t="s">
        <v>260</v>
      </c>
      <c r="E40" t="s">
        <v>261</v>
      </c>
      <c r="F40" t="s">
        <v>183</v>
      </c>
      <c r="G40" t="s">
        <v>165</v>
      </c>
      <c r="H40" t="s">
        <v>166</v>
      </c>
      <c r="I40" t="s">
        <v>165</v>
      </c>
      <c r="L40" t="s">
        <v>270</v>
      </c>
      <c r="M40" t="s">
        <v>137</v>
      </c>
      <c r="N40" t="b">
        <v>0</v>
      </c>
      <c r="P40" s="12" t="s">
        <v>185</v>
      </c>
      <c r="Q40" s="12" t="s">
        <v>185</v>
      </c>
      <c r="R40" s="12">
        <v>210</v>
      </c>
      <c r="S40" t="s">
        <v>148</v>
      </c>
      <c r="T40" s="12" t="s">
        <v>168</v>
      </c>
      <c r="U40" s="12">
        <v>53</v>
      </c>
      <c r="V40" t="s">
        <v>148</v>
      </c>
      <c r="Z40" s="12">
        <v>120</v>
      </c>
      <c r="AA40" s="12" t="s">
        <v>169</v>
      </c>
      <c r="AB40" s="12">
        <v>140</v>
      </c>
      <c r="AC40" t="s">
        <v>148</v>
      </c>
      <c r="AD40" s="12" t="s">
        <v>170</v>
      </c>
      <c r="AE40" s="12" t="s">
        <v>144</v>
      </c>
      <c r="AF40" s="12" t="s">
        <v>171</v>
      </c>
      <c r="AG40" s="13" t="s">
        <v>172</v>
      </c>
      <c r="AH40" s="12" t="s">
        <v>173</v>
      </c>
      <c r="AI40" s="12" t="s">
        <v>145</v>
      </c>
      <c r="AJ40" s="12" t="s">
        <v>146</v>
      </c>
      <c r="AK40" s="12" t="s">
        <v>147</v>
      </c>
      <c r="AL40" s="12" t="s">
        <v>174</v>
      </c>
      <c r="AM40" s="12">
        <v>95</v>
      </c>
      <c r="AN40" t="s">
        <v>175</v>
      </c>
      <c r="AO40" s="12">
        <v>-1412</v>
      </c>
      <c r="AQ40" s="12" t="b">
        <v>0</v>
      </c>
      <c r="AR40" s="14" t="s">
        <v>177</v>
      </c>
      <c r="BR40" s="12" t="s">
        <v>155</v>
      </c>
      <c r="BV40" s="12" t="s">
        <v>179</v>
      </c>
      <c r="CF40" s="12" t="s">
        <v>180</v>
      </c>
      <c r="CS40" s="12" t="s">
        <v>227</v>
      </c>
      <c r="DA40" s="12">
        <v>1</v>
      </c>
      <c r="DB40" s="12">
        <v>2</v>
      </c>
      <c r="DN40" s="12" t="b">
        <v>0</v>
      </c>
      <c r="DQ40">
        <f t="shared" si="31"/>
        <v>1</v>
      </c>
      <c r="DR40">
        <f t="shared" si="25"/>
        <v>1</v>
      </c>
      <c r="DS40" cm="1">
        <f t="array" ref="DS40">IF(AF40="&lt;0.2 ips",1,O.5)</f>
        <v>1</v>
      </c>
      <c r="DT40">
        <v>0.2</v>
      </c>
      <c r="DU40">
        <v>1</v>
      </c>
      <c r="DV40">
        <v>1</v>
      </c>
      <c r="DW40">
        <v>0.9</v>
      </c>
      <c r="DX40">
        <f t="shared" si="32"/>
        <v>0.2</v>
      </c>
      <c r="DY40">
        <f t="shared" si="33"/>
        <v>1860.026594366539</v>
      </c>
      <c r="DZ40">
        <f t="shared" si="34"/>
        <v>0.21233180300987889</v>
      </c>
      <c r="EA40">
        <f t="shared" si="35"/>
        <v>2.5</v>
      </c>
    </row>
    <row r="41" spans="1:131" hidden="1" x14ac:dyDescent="0.25">
      <c r="A41" t="s">
        <v>271</v>
      </c>
      <c r="B41" t="s">
        <v>130</v>
      </c>
      <c r="C41" t="s">
        <v>131</v>
      </c>
      <c r="D41" t="s">
        <v>260</v>
      </c>
      <c r="E41" t="s">
        <v>261</v>
      </c>
      <c r="F41" t="s">
        <v>272</v>
      </c>
      <c r="G41" t="s">
        <v>165</v>
      </c>
      <c r="H41" t="s">
        <v>166</v>
      </c>
      <c r="I41" t="s">
        <v>165</v>
      </c>
      <c r="M41" t="s">
        <v>137</v>
      </c>
      <c r="N41" t="b">
        <v>0</v>
      </c>
      <c r="P41" s="12" t="s">
        <v>185</v>
      </c>
      <c r="Q41" s="12" t="s">
        <v>185</v>
      </c>
      <c r="R41" s="12">
        <v>210</v>
      </c>
      <c r="S41" t="s">
        <v>148</v>
      </c>
      <c r="T41" s="12" t="s">
        <v>168</v>
      </c>
      <c r="U41" s="12">
        <v>53</v>
      </c>
      <c r="V41" t="s">
        <v>148</v>
      </c>
      <c r="Z41" s="12">
        <v>120</v>
      </c>
      <c r="AA41" s="12" t="s">
        <v>169</v>
      </c>
      <c r="AB41" s="12">
        <v>140</v>
      </c>
      <c r="AC41" t="s">
        <v>148</v>
      </c>
      <c r="AD41" s="12" t="s">
        <v>170</v>
      </c>
      <c r="AE41" s="12" t="s">
        <v>144</v>
      </c>
      <c r="AF41" s="12" t="s">
        <v>171</v>
      </c>
      <c r="AG41" s="13" t="s">
        <v>172</v>
      </c>
      <c r="AH41" s="12" t="s">
        <v>173</v>
      </c>
      <c r="AI41" s="12" t="s">
        <v>145</v>
      </c>
      <c r="AJ41" s="12" t="s">
        <v>146</v>
      </c>
      <c r="AK41" s="12" t="s">
        <v>147</v>
      </c>
      <c r="AL41" s="12" t="s">
        <v>174</v>
      </c>
      <c r="AM41" s="12">
        <v>56</v>
      </c>
      <c r="AN41" t="s">
        <v>175</v>
      </c>
      <c r="AO41" s="12">
        <v>-1412</v>
      </c>
      <c r="AQ41" s="12" t="b">
        <v>0</v>
      </c>
      <c r="AR41" s="14" t="s">
        <v>177</v>
      </c>
      <c r="BR41" s="12" t="s">
        <v>155</v>
      </c>
      <c r="BV41" s="12" t="s">
        <v>179</v>
      </c>
      <c r="CF41" s="12" t="s">
        <v>180</v>
      </c>
      <c r="CS41" s="12" t="s">
        <v>227</v>
      </c>
      <c r="DA41" s="12">
        <v>1</v>
      </c>
      <c r="DB41" s="12">
        <v>2</v>
      </c>
      <c r="DN41" s="12" t="b">
        <v>0</v>
      </c>
      <c r="DQ41">
        <f t="shared" si="31"/>
        <v>1</v>
      </c>
      <c r="DR41">
        <f t="shared" si="25"/>
        <v>1</v>
      </c>
      <c r="DS41" cm="1">
        <f t="array" ref="DS41">IF(AF41="&lt;0.2 ips",1,O.5)</f>
        <v>1</v>
      </c>
      <c r="DT41">
        <v>0.2</v>
      </c>
      <c r="DU41">
        <v>1</v>
      </c>
      <c r="DV41">
        <v>1</v>
      </c>
      <c r="DW41">
        <v>0.9</v>
      </c>
      <c r="DX41">
        <f t="shared" si="32"/>
        <v>0.2</v>
      </c>
      <c r="DY41">
        <f t="shared" si="33"/>
        <v>1860.026594366539</v>
      </c>
      <c r="DZ41">
        <f t="shared" si="34"/>
        <v>0.21233180300987889</v>
      </c>
      <c r="EA41">
        <f t="shared" si="35"/>
        <v>2.5</v>
      </c>
    </row>
    <row r="42" spans="1:131" hidden="1" x14ac:dyDescent="0.25">
      <c r="A42" t="s">
        <v>273</v>
      </c>
      <c r="B42" t="s">
        <v>130</v>
      </c>
      <c r="C42" t="s">
        <v>131</v>
      </c>
      <c r="D42" t="s">
        <v>260</v>
      </c>
      <c r="E42" t="s">
        <v>261</v>
      </c>
      <c r="F42" t="s">
        <v>274</v>
      </c>
      <c r="G42" t="s">
        <v>165</v>
      </c>
      <c r="H42" t="s">
        <v>166</v>
      </c>
      <c r="I42" t="s">
        <v>165</v>
      </c>
      <c r="M42" t="s">
        <v>137</v>
      </c>
      <c r="N42" t="b">
        <v>0</v>
      </c>
      <c r="P42" s="12" t="s">
        <v>185</v>
      </c>
      <c r="Q42" s="12" t="s">
        <v>185</v>
      </c>
      <c r="R42" s="12">
        <v>210</v>
      </c>
      <c r="S42" t="s">
        <v>148</v>
      </c>
      <c r="T42" s="12" t="s">
        <v>168</v>
      </c>
      <c r="U42" s="12">
        <v>53</v>
      </c>
      <c r="V42" t="s">
        <v>148</v>
      </c>
      <c r="Z42" s="12">
        <v>120</v>
      </c>
      <c r="AA42" s="12" t="s">
        <v>169</v>
      </c>
      <c r="AB42" s="12">
        <v>140</v>
      </c>
      <c r="AC42" t="s">
        <v>148</v>
      </c>
      <c r="AD42" s="12" t="s">
        <v>170</v>
      </c>
      <c r="AE42" s="12" t="s">
        <v>144</v>
      </c>
      <c r="AF42" s="12" t="s">
        <v>171</v>
      </c>
      <c r="AG42" s="13" t="s">
        <v>172</v>
      </c>
      <c r="AH42" s="12" t="s">
        <v>173</v>
      </c>
      <c r="AI42" s="12" t="s">
        <v>145</v>
      </c>
      <c r="AJ42" s="12" t="s">
        <v>146</v>
      </c>
      <c r="AK42" s="12" t="s">
        <v>147</v>
      </c>
      <c r="AL42" s="12" t="s">
        <v>174</v>
      </c>
      <c r="AM42" s="12">
        <v>56</v>
      </c>
      <c r="AN42" t="s">
        <v>175</v>
      </c>
      <c r="AO42" s="12">
        <v>-1412</v>
      </c>
      <c r="AQ42" s="12" t="b">
        <v>0</v>
      </c>
      <c r="AR42" s="14" t="s">
        <v>177</v>
      </c>
      <c r="BR42" s="12" t="s">
        <v>155</v>
      </c>
      <c r="BV42" s="12" t="s">
        <v>179</v>
      </c>
      <c r="CF42" s="12" t="s">
        <v>180</v>
      </c>
      <c r="CS42" s="12" t="s">
        <v>227</v>
      </c>
      <c r="DA42" s="12">
        <v>1</v>
      </c>
      <c r="DB42" s="12">
        <v>2</v>
      </c>
      <c r="DN42" s="12" t="b">
        <v>0</v>
      </c>
      <c r="DQ42">
        <f t="shared" si="31"/>
        <v>1</v>
      </c>
      <c r="DR42">
        <f t="shared" si="25"/>
        <v>1</v>
      </c>
      <c r="DS42" cm="1">
        <f t="array" ref="DS42">IF(AF42="&lt;0.2 ips",1,O.5)</f>
        <v>1</v>
      </c>
      <c r="DT42">
        <v>0.2</v>
      </c>
      <c r="DU42">
        <v>1</v>
      </c>
      <c r="DV42">
        <v>1</v>
      </c>
      <c r="DW42">
        <v>0.9</v>
      </c>
      <c r="DX42">
        <f t="shared" si="32"/>
        <v>0.2</v>
      </c>
      <c r="DY42">
        <f t="shared" si="33"/>
        <v>1860.026594366539</v>
      </c>
      <c r="DZ42">
        <f t="shared" si="34"/>
        <v>0.21233180300987889</v>
      </c>
      <c r="EA42">
        <f t="shared" si="35"/>
        <v>2.5</v>
      </c>
    </row>
    <row r="43" spans="1:131" hidden="1" x14ac:dyDescent="0.25">
      <c r="A43" t="s">
        <v>275</v>
      </c>
      <c r="B43" t="s">
        <v>130</v>
      </c>
      <c r="C43" t="s">
        <v>131</v>
      </c>
      <c r="D43" t="s">
        <v>276</v>
      </c>
      <c r="E43" t="s">
        <v>277</v>
      </c>
      <c r="F43" t="s">
        <v>200</v>
      </c>
      <c r="G43" t="s">
        <v>135</v>
      </c>
      <c r="H43" t="s">
        <v>166</v>
      </c>
      <c r="I43" t="s">
        <v>201</v>
      </c>
      <c r="M43" t="s">
        <v>137</v>
      </c>
      <c r="N43" t="b">
        <v>0</v>
      </c>
      <c r="P43" s="12"/>
      <c r="Q43" s="12"/>
      <c r="T43" t="s">
        <v>203</v>
      </c>
      <c r="X43" s="12" t="s">
        <v>262</v>
      </c>
      <c r="Y43" s="12">
        <v>90</v>
      </c>
      <c r="Z43" s="12">
        <v>1500</v>
      </c>
      <c r="AA43" s="12" t="s">
        <v>169</v>
      </c>
      <c r="AB43">
        <v>90</v>
      </c>
      <c r="AC43" t="s">
        <v>148</v>
      </c>
      <c r="AE43" s="12" t="s">
        <v>144</v>
      </c>
      <c r="AF43" s="12" t="s">
        <v>263</v>
      </c>
      <c r="AI43" s="12" t="s">
        <v>145</v>
      </c>
      <c r="AJ43" s="12" t="s">
        <v>146</v>
      </c>
      <c r="AK43" s="12" t="s">
        <v>147</v>
      </c>
      <c r="AL43" s="12" t="s">
        <v>174</v>
      </c>
      <c r="AM43" s="12">
        <v>35</v>
      </c>
      <c r="AN43" t="s">
        <v>175</v>
      </c>
      <c r="AO43" s="12">
        <v>9</v>
      </c>
      <c r="AP43" t="s">
        <v>176</v>
      </c>
      <c r="AQ43" s="12" t="b">
        <v>1</v>
      </c>
      <c r="AR43" s="12" t="str">
        <f>HYPERLINK("https://www.google.com/search?q=","")</f>
        <v/>
      </c>
      <c r="BR43" s="12" t="s">
        <v>155</v>
      </c>
      <c r="BV43" s="12" t="s">
        <v>210</v>
      </c>
      <c r="CF43" s="12" t="s">
        <v>187</v>
      </c>
      <c r="CS43" s="12" t="s">
        <v>227</v>
      </c>
      <c r="DA43" s="12">
        <v>2</v>
      </c>
      <c r="DN43" s="12" t="b">
        <v>0</v>
      </c>
      <c r="DQ43">
        <f t="shared" ref="DQ43:DQ44" si="36">IF(T43="Ball",10,0)</f>
        <v>10</v>
      </c>
      <c r="DR43">
        <f t="shared" si="25"/>
        <v>1</v>
      </c>
      <c r="DS43">
        <v>0.5</v>
      </c>
      <c r="DT43">
        <v>0.2</v>
      </c>
      <c r="DU43">
        <v>1</v>
      </c>
      <c r="DV43">
        <v>1</v>
      </c>
      <c r="DW43">
        <v>0.9</v>
      </c>
      <c r="DX43">
        <f t="shared" si="32"/>
        <v>1</v>
      </c>
      <c r="DY43">
        <f t="shared" si="33"/>
        <v>623.81971649682907</v>
      </c>
      <c r="DZ43">
        <f t="shared" si="34"/>
        <v>7.1212296403747613E-2</v>
      </c>
      <c r="EA43">
        <f t="shared" si="35"/>
        <v>0.9</v>
      </c>
    </row>
    <row r="44" spans="1:131" hidden="1" x14ac:dyDescent="0.25">
      <c r="A44" t="s">
        <v>278</v>
      </c>
      <c r="B44" t="s">
        <v>130</v>
      </c>
      <c r="C44" t="s">
        <v>131</v>
      </c>
      <c r="D44" t="s">
        <v>276</v>
      </c>
      <c r="E44" t="s">
        <v>277</v>
      </c>
      <c r="F44" t="s">
        <v>279</v>
      </c>
      <c r="G44" t="s">
        <v>135</v>
      </c>
      <c r="H44" t="s">
        <v>166</v>
      </c>
      <c r="I44" t="s">
        <v>201</v>
      </c>
      <c r="M44" t="s">
        <v>137</v>
      </c>
      <c r="N44" t="b">
        <v>0</v>
      </c>
      <c r="P44" s="12"/>
      <c r="Q44" s="12"/>
      <c r="T44" t="s">
        <v>203</v>
      </c>
      <c r="X44" s="12" t="s">
        <v>262</v>
      </c>
      <c r="Y44" s="12">
        <v>90</v>
      </c>
      <c r="Z44" s="12">
        <v>1500</v>
      </c>
      <c r="AA44" s="12" t="s">
        <v>169</v>
      </c>
      <c r="AB44">
        <v>90</v>
      </c>
      <c r="AC44" t="s">
        <v>148</v>
      </c>
      <c r="AE44" s="12" t="s">
        <v>144</v>
      </c>
      <c r="AF44" s="12" t="s">
        <v>263</v>
      </c>
      <c r="AI44" s="12" t="s">
        <v>145</v>
      </c>
      <c r="AJ44" s="12" t="s">
        <v>146</v>
      </c>
      <c r="AK44" s="12" t="s">
        <v>147</v>
      </c>
      <c r="AL44" s="12" t="s">
        <v>174</v>
      </c>
      <c r="AM44" s="12">
        <v>35</v>
      </c>
      <c r="AN44" t="s">
        <v>175</v>
      </c>
      <c r="AO44" s="12">
        <v>9</v>
      </c>
      <c r="AP44" t="s">
        <v>176</v>
      </c>
      <c r="AQ44" s="12" t="b">
        <v>1</v>
      </c>
      <c r="AR44" s="12" t="str">
        <f>HYPERLINK("https://www.google.com/search?q=","")</f>
        <v/>
      </c>
      <c r="BR44" s="12" t="s">
        <v>155</v>
      </c>
      <c r="BV44" s="12" t="s">
        <v>210</v>
      </c>
      <c r="CF44" s="12" t="s">
        <v>187</v>
      </c>
      <c r="CS44" s="12" t="s">
        <v>227</v>
      </c>
      <c r="DA44" s="12">
        <v>2</v>
      </c>
      <c r="DN44" s="12" t="b">
        <v>0</v>
      </c>
      <c r="DQ44">
        <f t="shared" si="36"/>
        <v>10</v>
      </c>
      <c r="DR44">
        <f t="shared" si="25"/>
        <v>1</v>
      </c>
      <c r="DS44">
        <v>0.5</v>
      </c>
      <c r="DT44">
        <v>0.2</v>
      </c>
      <c r="DU44">
        <v>1</v>
      </c>
      <c r="DV44">
        <v>1</v>
      </c>
      <c r="DW44">
        <v>0.9</v>
      </c>
      <c r="DX44">
        <f t="shared" si="32"/>
        <v>1</v>
      </c>
      <c r="DY44">
        <f t="shared" si="33"/>
        <v>623.81971649682907</v>
      </c>
      <c r="DZ44">
        <f t="shared" si="34"/>
        <v>7.1212296403747613E-2</v>
      </c>
      <c r="EA44">
        <f t="shared" si="35"/>
        <v>0.9</v>
      </c>
    </row>
    <row r="45" spans="1:131" hidden="1" x14ac:dyDescent="0.25">
      <c r="A45" t="s">
        <v>280</v>
      </c>
      <c r="B45" t="s">
        <v>130</v>
      </c>
      <c r="C45" t="s">
        <v>131</v>
      </c>
      <c r="D45" t="s">
        <v>276</v>
      </c>
      <c r="E45" t="s">
        <v>277</v>
      </c>
      <c r="F45" t="s">
        <v>281</v>
      </c>
      <c r="G45" t="s">
        <v>135</v>
      </c>
      <c r="H45" t="s">
        <v>136</v>
      </c>
      <c r="I45" t="s">
        <v>135</v>
      </c>
      <c r="M45" t="s">
        <v>137</v>
      </c>
      <c r="N45" t="b">
        <v>0</v>
      </c>
      <c r="DB45" s="12">
        <v>1</v>
      </c>
      <c r="DV45">
        <f t="shared" ref="DV45:DV48" si="37">IF(AA47="Horizontal",1,0.5)</f>
        <v>0.5</v>
      </c>
    </row>
    <row r="46" spans="1:131" hidden="1" x14ac:dyDescent="0.25">
      <c r="A46" t="s">
        <v>282</v>
      </c>
      <c r="B46" t="s">
        <v>130</v>
      </c>
      <c r="C46" t="s">
        <v>131</v>
      </c>
      <c r="D46" t="s">
        <v>276</v>
      </c>
      <c r="E46" t="s">
        <v>277</v>
      </c>
      <c r="F46" t="s">
        <v>283</v>
      </c>
      <c r="G46" t="s">
        <v>140</v>
      </c>
      <c r="H46" t="s">
        <v>141</v>
      </c>
      <c r="I46" t="s">
        <v>142</v>
      </c>
      <c r="M46" t="s">
        <v>137</v>
      </c>
      <c r="N46" t="b">
        <v>0</v>
      </c>
      <c r="Y46" s="12">
        <v>90</v>
      </c>
      <c r="AE46" s="12" t="s">
        <v>144</v>
      </c>
      <c r="AI46" s="12" t="s">
        <v>145</v>
      </c>
      <c r="AJ46" s="12" t="s">
        <v>146</v>
      </c>
      <c r="AK46" s="12" t="s">
        <v>147</v>
      </c>
      <c r="AR46" s="12" t="str">
        <f>HYPERLINK("https://www.google.com/search?q=Ralpe RTTH-400","Ralpe RTTH-400")</f>
        <v>Ralpe RTTH-400</v>
      </c>
      <c r="AS46">
        <v>800</v>
      </c>
      <c r="AT46" t="s">
        <v>148</v>
      </c>
      <c r="AU46">
        <v>500</v>
      </c>
      <c r="AV46" t="s">
        <v>148</v>
      </c>
      <c r="AW46">
        <v>1400</v>
      </c>
      <c r="AX46" t="s">
        <v>148</v>
      </c>
      <c r="AY46" s="12">
        <v>170</v>
      </c>
      <c r="AZ46" t="s">
        <v>149</v>
      </c>
      <c r="BF46" s="12" t="s">
        <v>150</v>
      </c>
      <c r="BH46" s="12" t="s">
        <v>151</v>
      </c>
      <c r="BI46" s="12" t="s">
        <v>152</v>
      </c>
      <c r="BL46" s="12" t="s">
        <v>153</v>
      </c>
      <c r="BN46" s="12" t="s">
        <v>154</v>
      </c>
      <c r="BP46" s="12" t="s">
        <v>155</v>
      </c>
      <c r="BT46" s="12" t="s">
        <v>156</v>
      </c>
      <c r="BV46" s="12" t="s">
        <v>157</v>
      </c>
      <c r="BY46" s="12" t="s">
        <v>155</v>
      </c>
      <c r="CA46" s="12" t="s">
        <v>218</v>
      </c>
      <c r="CD46" s="12">
        <v>320</v>
      </c>
      <c r="CE46" t="s">
        <v>148</v>
      </c>
      <c r="CH46" s="12" t="s">
        <v>159</v>
      </c>
      <c r="CU46" s="12" t="s">
        <v>159</v>
      </c>
      <c r="DC46" s="12" t="b">
        <v>1</v>
      </c>
      <c r="DD46" s="12" t="s">
        <v>219</v>
      </c>
      <c r="DG46" s="12" t="s">
        <v>161</v>
      </c>
      <c r="DL46" t="s">
        <v>162</v>
      </c>
      <c r="DV46">
        <f t="shared" si="37"/>
        <v>1</v>
      </c>
    </row>
    <row r="47" spans="1:131" hidden="1" x14ac:dyDescent="0.25">
      <c r="A47" t="s">
        <v>284</v>
      </c>
      <c r="B47" t="s">
        <v>130</v>
      </c>
      <c r="C47" t="s">
        <v>131</v>
      </c>
      <c r="D47" t="s">
        <v>276</v>
      </c>
      <c r="E47" t="s">
        <v>277</v>
      </c>
      <c r="F47" t="s">
        <v>285</v>
      </c>
      <c r="G47" t="s">
        <v>140</v>
      </c>
      <c r="H47" t="s">
        <v>141</v>
      </c>
      <c r="I47" t="s">
        <v>142</v>
      </c>
      <c r="M47" t="s">
        <v>137</v>
      </c>
      <c r="N47" t="b">
        <v>0</v>
      </c>
      <c r="Y47" s="12">
        <v>90</v>
      </c>
      <c r="AE47" s="12" t="s">
        <v>144</v>
      </c>
      <c r="AI47" s="12" t="s">
        <v>145</v>
      </c>
      <c r="AJ47" s="12" t="s">
        <v>146</v>
      </c>
      <c r="AK47" s="12" t="s">
        <v>147</v>
      </c>
      <c r="AR47" s="12" t="str">
        <f>HYPERLINK("https://www.google.com/search?q=Ralpe RTTH-400","Ralpe RTTH-400")</f>
        <v>Ralpe RTTH-400</v>
      </c>
      <c r="AS47">
        <v>800</v>
      </c>
      <c r="AT47" t="s">
        <v>148</v>
      </c>
      <c r="AU47">
        <v>500</v>
      </c>
      <c r="AV47" t="s">
        <v>148</v>
      </c>
      <c r="AW47">
        <v>1400</v>
      </c>
      <c r="AX47" t="s">
        <v>148</v>
      </c>
      <c r="AY47" s="12">
        <v>170</v>
      </c>
      <c r="AZ47" t="s">
        <v>149</v>
      </c>
      <c r="BF47" s="12" t="s">
        <v>150</v>
      </c>
      <c r="BH47" s="12" t="s">
        <v>151</v>
      </c>
      <c r="BI47" s="12" t="s">
        <v>152</v>
      </c>
      <c r="BL47" s="12" t="s">
        <v>153</v>
      </c>
      <c r="BN47" s="12" t="s">
        <v>154</v>
      </c>
      <c r="BP47" s="12" t="s">
        <v>155</v>
      </c>
      <c r="BT47" s="12" t="s">
        <v>156</v>
      </c>
      <c r="BV47" s="12" t="s">
        <v>157</v>
      </c>
      <c r="BY47" s="12" t="s">
        <v>155</v>
      </c>
      <c r="CA47" s="12" t="s">
        <v>218</v>
      </c>
      <c r="CD47" s="12">
        <v>320</v>
      </c>
      <c r="CE47" t="s">
        <v>148</v>
      </c>
      <c r="CH47" s="12" t="s">
        <v>159</v>
      </c>
      <c r="CU47" s="12" t="s">
        <v>159</v>
      </c>
      <c r="DC47" s="12" t="b">
        <v>1</v>
      </c>
      <c r="DD47" s="12" t="s">
        <v>219</v>
      </c>
      <c r="DG47" s="12" t="s">
        <v>161</v>
      </c>
      <c r="DL47" t="s">
        <v>162</v>
      </c>
      <c r="DV47">
        <f t="shared" si="37"/>
        <v>1</v>
      </c>
    </row>
    <row r="48" spans="1:131" hidden="1" x14ac:dyDescent="0.25">
      <c r="A48" t="s">
        <v>286</v>
      </c>
      <c r="B48" t="s">
        <v>130</v>
      </c>
      <c r="C48" t="s">
        <v>131</v>
      </c>
      <c r="D48" t="s">
        <v>276</v>
      </c>
      <c r="E48" t="s">
        <v>277</v>
      </c>
      <c r="F48" t="s">
        <v>287</v>
      </c>
      <c r="G48" t="s">
        <v>165</v>
      </c>
      <c r="H48" t="s">
        <v>166</v>
      </c>
      <c r="I48" t="s">
        <v>165</v>
      </c>
      <c r="M48" t="s">
        <v>137</v>
      </c>
      <c r="N48" t="b">
        <v>0</v>
      </c>
      <c r="P48" s="12"/>
      <c r="Q48" s="12"/>
      <c r="R48" s="12"/>
      <c r="S48" t="s">
        <v>225</v>
      </c>
      <c r="T48" s="12"/>
      <c r="U48" s="12"/>
      <c r="V48" t="s">
        <v>225</v>
      </c>
      <c r="Z48" s="12">
        <v>50</v>
      </c>
      <c r="AA48" s="12" t="s">
        <v>169</v>
      </c>
      <c r="AB48" s="12"/>
      <c r="AC48" t="s">
        <v>225</v>
      </c>
      <c r="AD48" s="12"/>
      <c r="AE48" s="12" t="s">
        <v>144</v>
      </c>
      <c r="AF48" s="12" t="s">
        <v>171</v>
      </c>
      <c r="AG48" s="13" t="s">
        <v>172</v>
      </c>
      <c r="AH48" s="12" t="s">
        <v>173</v>
      </c>
      <c r="AI48" s="12" t="s">
        <v>145</v>
      </c>
      <c r="AJ48" s="12" t="s">
        <v>146</v>
      </c>
      <c r="AK48" s="12" t="s">
        <v>147</v>
      </c>
      <c r="AL48" s="12" t="s">
        <v>174</v>
      </c>
      <c r="AM48" s="12"/>
      <c r="AO48" s="12">
        <v>0</v>
      </c>
      <c r="AQ48" s="12" t="b">
        <v>0</v>
      </c>
      <c r="BR48" s="12" t="s">
        <v>178</v>
      </c>
      <c r="BV48" s="12" t="s">
        <v>179</v>
      </c>
      <c r="CF48" s="12" t="s">
        <v>268</v>
      </c>
      <c r="CS48" s="12" t="s">
        <v>181</v>
      </c>
      <c r="DA48" s="12">
        <v>1</v>
      </c>
      <c r="DB48" s="12">
        <v>8</v>
      </c>
      <c r="DN48" s="12" t="b">
        <v>0</v>
      </c>
      <c r="DV48">
        <f t="shared" si="37"/>
        <v>1</v>
      </c>
    </row>
    <row r="49" spans="1:131" hidden="1" x14ac:dyDescent="0.25">
      <c r="A49" t="s">
        <v>288</v>
      </c>
      <c r="B49" t="s">
        <v>130</v>
      </c>
      <c r="C49" t="s">
        <v>131</v>
      </c>
      <c r="D49" t="s">
        <v>276</v>
      </c>
      <c r="E49" t="s">
        <v>277</v>
      </c>
      <c r="F49" t="s">
        <v>289</v>
      </c>
      <c r="G49" t="s">
        <v>165</v>
      </c>
      <c r="H49" t="s">
        <v>166</v>
      </c>
      <c r="I49" t="s">
        <v>165</v>
      </c>
      <c r="M49" t="s">
        <v>137</v>
      </c>
      <c r="N49" t="b">
        <v>0</v>
      </c>
      <c r="P49" s="12" t="s">
        <v>290</v>
      </c>
      <c r="Q49" s="12" t="s">
        <v>290</v>
      </c>
      <c r="R49" s="12">
        <v>400</v>
      </c>
      <c r="S49" t="s">
        <v>148</v>
      </c>
      <c r="T49" s="12" t="s">
        <v>168</v>
      </c>
      <c r="U49" s="12">
        <v>104</v>
      </c>
      <c r="V49" t="s">
        <v>148</v>
      </c>
      <c r="Z49" s="12">
        <v>120</v>
      </c>
      <c r="AA49" s="12" t="s">
        <v>169</v>
      </c>
      <c r="AB49" s="12">
        <v>260</v>
      </c>
      <c r="AC49" t="s">
        <v>148</v>
      </c>
      <c r="AD49" s="12" t="s">
        <v>170</v>
      </c>
      <c r="AE49" s="12" t="s">
        <v>144</v>
      </c>
      <c r="AF49" s="12" t="s">
        <v>171</v>
      </c>
      <c r="AG49" s="13" t="s">
        <v>172</v>
      </c>
      <c r="AH49" s="12" t="s">
        <v>173</v>
      </c>
      <c r="AI49" s="12" t="s">
        <v>145</v>
      </c>
      <c r="AJ49" s="12" t="s">
        <v>146</v>
      </c>
      <c r="AK49" s="12" t="s">
        <v>147</v>
      </c>
      <c r="AL49" s="12" t="s">
        <v>174</v>
      </c>
      <c r="AM49" s="12">
        <v>208</v>
      </c>
      <c r="AN49" t="s">
        <v>175</v>
      </c>
      <c r="AO49" s="12">
        <v>-1412</v>
      </c>
      <c r="AP49" t="s">
        <v>186</v>
      </c>
      <c r="AQ49" s="12" t="b">
        <v>0</v>
      </c>
      <c r="AR49" s="14" t="s">
        <v>177</v>
      </c>
      <c r="BR49" s="12" t="s">
        <v>178</v>
      </c>
      <c r="BV49" s="12" t="s">
        <v>179</v>
      </c>
      <c r="CF49" s="12" t="s">
        <v>180</v>
      </c>
      <c r="CS49" s="12" t="s">
        <v>227</v>
      </c>
      <c r="DA49" s="12">
        <v>1</v>
      </c>
      <c r="DB49" s="12">
        <v>2</v>
      </c>
      <c r="DN49" s="12" t="b">
        <v>0</v>
      </c>
      <c r="DQ49">
        <f t="shared" ref="DQ49:DQ54" si="38">IF(T49="Tapered/Spherical",1,0)</f>
        <v>1</v>
      </c>
      <c r="DR49">
        <f t="shared" ref="DR49:DR55" si="39">IF(AE49="125°F (51.7°C) - 150°F (65.6°C)",1,0.5)</f>
        <v>1</v>
      </c>
      <c r="DS49" cm="1">
        <f t="array" ref="DS49">IF(AF49="&lt;0.2 ips",1,O.5)</f>
        <v>1</v>
      </c>
      <c r="DT49">
        <v>0.2</v>
      </c>
      <c r="DU49">
        <v>1</v>
      </c>
      <c r="DV49">
        <v>1</v>
      </c>
      <c r="DW49">
        <v>0.9</v>
      </c>
      <c r="DX49">
        <f t="shared" ref="DX49:DX55" si="40">PRODUCT(DQ49:DV49)</f>
        <v>0.2</v>
      </c>
      <c r="DY49">
        <f t="shared" ref="DY49:DY55" si="41">+DX49*((14000000/(Z49*AB49^0.5))-4*AB49)</f>
        <v>1239.0719035407656</v>
      </c>
      <c r="DZ49">
        <f t="shared" ref="DZ49:DZ55" si="42">+DY49/8760</f>
        <v>0.14144656433113761</v>
      </c>
      <c r="EA49">
        <f t="shared" ref="EA49:EA55" si="43">ROUND(+DZ49*12,1)</f>
        <v>1.7</v>
      </c>
    </row>
    <row r="50" spans="1:131" hidden="1" x14ac:dyDescent="0.25">
      <c r="A50" t="s">
        <v>291</v>
      </c>
      <c r="B50" t="s">
        <v>130</v>
      </c>
      <c r="C50" t="s">
        <v>131</v>
      </c>
      <c r="D50" t="s">
        <v>276</v>
      </c>
      <c r="E50" t="s">
        <v>277</v>
      </c>
      <c r="F50" t="s">
        <v>292</v>
      </c>
      <c r="G50" t="s">
        <v>165</v>
      </c>
      <c r="H50" t="s">
        <v>166</v>
      </c>
      <c r="I50" t="s">
        <v>165</v>
      </c>
      <c r="M50" t="s">
        <v>137</v>
      </c>
      <c r="N50" t="b">
        <v>0</v>
      </c>
      <c r="P50" s="12" t="s">
        <v>290</v>
      </c>
      <c r="Q50" s="12" t="s">
        <v>290</v>
      </c>
      <c r="R50" s="12">
        <v>400</v>
      </c>
      <c r="S50" t="s">
        <v>148</v>
      </c>
      <c r="T50" s="12" t="s">
        <v>168</v>
      </c>
      <c r="U50" s="12">
        <v>104</v>
      </c>
      <c r="V50" t="s">
        <v>148</v>
      </c>
      <c r="Z50" s="12">
        <v>120</v>
      </c>
      <c r="AA50" s="12" t="s">
        <v>169</v>
      </c>
      <c r="AB50" s="12">
        <v>260</v>
      </c>
      <c r="AC50" t="s">
        <v>148</v>
      </c>
      <c r="AD50" s="12" t="s">
        <v>170</v>
      </c>
      <c r="AE50" s="12" t="s">
        <v>144</v>
      </c>
      <c r="AF50" s="12" t="s">
        <v>171</v>
      </c>
      <c r="AG50" s="13" t="s">
        <v>172</v>
      </c>
      <c r="AH50" s="12" t="s">
        <v>173</v>
      </c>
      <c r="AI50" s="12" t="s">
        <v>145</v>
      </c>
      <c r="AJ50" s="12" t="s">
        <v>146</v>
      </c>
      <c r="AK50" s="12" t="s">
        <v>147</v>
      </c>
      <c r="AL50" s="12" t="s">
        <v>174</v>
      </c>
      <c r="AM50" s="12">
        <v>208</v>
      </c>
      <c r="AN50" t="s">
        <v>175</v>
      </c>
      <c r="AO50" s="12">
        <v>-1412</v>
      </c>
      <c r="AQ50" s="12" t="b">
        <v>0</v>
      </c>
      <c r="AR50" s="14" t="s">
        <v>177</v>
      </c>
      <c r="BR50" s="12" t="s">
        <v>178</v>
      </c>
      <c r="BV50" s="12" t="s">
        <v>179</v>
      </c>
      <c r="CF50" s="12" t="s">
        <v>180</v>
      </c>
      <c r="CS50" s="12" t="s">
        <v>227</v>
      </c>
      <c r="DA50" s="12">
        <v>1</v>
      </c>
      <c r="DB50" s="12">
        <v>2</v>
      </c>
      <c r="DN50" s="12" t="b">
        <v>0</v>
      </c>
      <c r="DQ50">
        <f t="shared" si="38"/>
        <v>1</v>
      </c>
      <c r="DR50">
        <f t="shared" si="39"/>
        <v>1</v>
      </c>
      <c r="DS50" cm="1">
        <f t="array" ref="DS50">IF(AF50="&lt;0.2 ips",1,O.5)</f>
        <v>1</v>
      </c>
      <c r="DT50">
        <v>0.2</v>
      </c>
      <c r="DU50">
        <v>1</v>
      </c>
      <c r="DV50">
        <v>1</v>
      </c>
      <c r="DW50">
        <v>0.9</v>
      </c>
      <c r="DX50">
        <f t="shared" si="40"/>
        <v>0.2</v>
      </c>
      <c r="DY50">
        <f t="shared" si="41"/>
        <v>1239.0719035407656</v>
      </c>
      <c r="DZ50">
        <f t="shared" si="42"/>
        <v>0.14144656433113761</v>
      </c>
      <c r="EA50">
        <f t="shared" si="43"/>
        <v>1.7</v>
      </c>
    </row>
    <row r="51" spans="1:131" hidden="1" x14ac:dyDescent="0.25">
      <c r="A51" t="s">
        <v>293</v>
      </c>
      <c r="B51" t="s">
        <v>130</v>
      </c>
      <c r="C51" t="s">
        <v>131</v>
      </c>
      <c r="D51" t="s">
        <v>276</v>
      </c>
      <c r="E51" t="s">
        <v>277</v>
      </c>
      <c r="F51" t="s">
        <v>267</v>
      </c>
      <c r="G51" t="s">
        <v>165</v>
      </c>
      <c r="H51" t="s">
        <v>166</v>
      </c>
      <c r="I51" t="s">
        <v>165</v>
      </c>
      <c r="M51" t="s">
        <v>137</v>
      </c>
      <c r="N51" t="b">
        <v>0</v>
      </c>
      <c r="P51" s="12" t="s">
        <v>255</v>
      </c>
      <c r="Q51" s="12" t="s">
        <v>255</v>
      </c>
      <c r="R51" s="12">
        <v>340</v>
      </c>
      <c r="S51" t="s">
        <v>148</v>
      </c>
      <c r="T51" s="12" t="s">
        <v>168</v>
      </c>
      <c r="U51" s="12">
        <v>90</v>
      </c>
      <c r="V51" t="s">
        <v>148</v>
      </c>
      <c r="Z51" s="12">
        <v>120</v>
      </c>
      <c r="AA51" s="12" t="s">
        <v>169</v>
      </c>
      <c r="AB51" s="12">
        <v>100</v>
      </c>
      <c r="AC51" t="s">
        <v>148</v>
      </c>
      <c r="AD51" s="12" t="s">
        <v>170</v>
      </c>
      <c r="AE51" s="12" t="s">
        <v>144</v>
      </c>
      <c r="AF51" s="12" t="s">
        <v>171</v>
      </c>
      <c r="AG51" s="13" t="s">
        <v>172</v>
      </c>
      <c r="AH51" s="12" t="s">
        <v>173</v>
      </c>
      <c r="AI51" s="12" t="s">
        <v>145</v>
      </c>
      <c r="AJ51" s="12" t="s">
        <v>146</v>
      </c>
      <c r="AK51" s="12" t="s">
        <v>147</v>
      </c>
      <c r="AL51" s="12" t="s">
        <v>174</v>
      </c>
      <c r="AM51" s="12">
        <v>153</v>
      </c>
      <c r="AN51" t="s">
        <v>175</v>
      </c>
      <c r="AO51" s="12">
        <v>-1412</v>
      </c>
      <c r="AQ51" s="12" t="b">
        <v>0</v>
      </c>
      <c r="AR51" s="14" t="s">
        <v>177</v>
      </c>
      <c r="BR51" s="12" t="s">
        <v>155</v>
      </c>
      <c r="BV51" s="12" t="s">
        <v>179</v>
      </c>
      <c r="CF51" s="12" t="s">
        <v>268</v>
      </c>
      <c r="CS51" s="12" t="s">
        <v>227</v>
      </c>
      <c r="DA51" s="12">
        <v>1</v>
      </c>
      <c r="DB51" s="12">
        <v>2</v>
      </c>
      <c r="DN51" s="12" t="b">
        <v>0</v>
      </c>
      <c r="DQ51">
        <f t="shared" si="38"/>
        <v>1</v>
      </c>
      <c r="DR51">
        <f t="shared" si="39"/>
        <v>1</v>
      </c>
      <c r="DS51" cm="1">
        <f t="array" ref="DS51">IF(AF51="&lt;0.2 ips",1,O.5)</f>
        <v>1</v>
      </c>
      <c r="DT51">
        <v>0.2</v>
      </c>
      <c r="DU51">
        <v>1</v>
      </c>
      <c r="DV51">
        <v>1</v>
      </c>
      <c r="DW51">
        <v>0.9</v>
      </c>
      <c r="DX51">
        <f t="shared" si="40"/>
        <v>0.2</v>
      </c>
      <c r="DY51">
        <f t="shared" si="41"/>
        <v>2253.3333333333335</v>
      </c>
      <c r="DZ51">
        <f t="shared" si="42"/>
        <v>0.25722983257229837</v>
      </c>
      <c r="EA51">
        <f t="shared" si="43"/>
        <v>3.1</v>
      </c>
    </row>
    <row r="52" spans="1:131" hidden="1" x14ac:dyDescent="0.25">
      <c r="A52" t="s">
        <v>294</v>
      </c>
      <c r="B52" t="s">
        <v>130</v>
      </c>
      <c r="C52" t="s">
        <v>131</v>
      </c>
      <c r="D52" t="s">
        <v>276</v>
      </c>
      <c r="E52" t="s">
        <v>277</v>
      </c>
      <c r="F52" t="s">
        <v>232</v>
      </c>
      <c r="G52" t="s">
        <v>165</v>
      </c>
      <c r="H52" t="s">
        <v>166</v>
      </c>
      <c r="I52" t="s">
        <v>165</v>
      </c>
      <c r="M52" t="s">
        <v>137</v>
      </c>
      <c r="N52" t="b">
        <v>0</v>
      </c>
      <c r="P52" s="12" t="s">
        <v>255</v>
      </c>
      <c r="Q52" s="12" t="s">
        <v>255</v>
      </c>
      <c r="R52" s="12">
        <v>340</v>
      </c>
      <c r="S52" t="s">
        <v>148</v>
      </c>
      <c r="T52" s="12" t="s">
        <v>168</v>
      </c>
      <c r="U52" s="12">
        <v>90</v>
      </c>
      <c r="V52" t="s">
        <v>148</v>
      </c>
      <c r="Z52" s="12">
        <v>120</v>
      </c>
      <c r="AA52" s="12" t="s">
        <v>169</v>
      </c>
      <c r="AB52" s="12">
        <v>100</v>
      </c>
      <c r="AC52" t="s">
        <v>148</v>
      </c>
      <c r="AD52" s="12" t="s">
        <v>170</v>
      </c>
      <c r="AE52" s="12" t="s">
        <v>144</v>
      </c>
      <c r="AF52" s="12" t="s">
        <v>171</v>
      </c>
      <c r="AG52" s="13" t="s">
        <v>172</v>
      </c>
      <c r="AH52" s="12" t="s">
        <v>173</v>
      </c>
      <c r="AI52" s="12" t="s">
        <v>145</v>
      </c>
      <c r="AJ52" s="12" t="s">
        <v>146</v>
      </c>
      <c r="AK52" s="12" t="s">
        <v>147</v>
      </c>
      <c r="AL52" s="12" t="s">
        <v>174</v>
      </c>
      <c r="AM52" s="12">
        <v>153</v>
      </c>
      <c r="AN52" t="s">
        <v>175</v>
      </c>
      <c r="AO52" s="12">
        <v>-1412</v>
      </c>
      <c r="AQ52" s="12" t="b">
        <v>0</v>
      </c>
      <c r="AR52" s="14" t="s">
        <v>177</v>
      </c>
      <c r="BR52" s="12" t="s">
        <v>155</v>
      </c>
      <c r="BV52" s="12" t="s">
        <v>179</v>
      </c>
      <c r="CF52" s="12" t="s">
        <v>180</v>
      </c>
      <c r="CS52" s="12" t="s">
        <v>227</v>
      </c>
      <c r="DA52" s="12">
        <v>1</v>
      </c>
      <c r="DB52" s="12">
        <v>2</v>
      </c>
      <c r="DN52" s="12" t="b">
        <v>0</v>
      </c>
      <c r="DQ52">
        <f t="shared" si="38"/>
        <v>1</v>
      </c>
      <c r="DR52">
        <f t="shared" si="39"/>
        <v>1</v>
      </c>
      <c r="DS52" cm="1">
        <f t="array" ref="DS52">IF(AF52="&lt;0.2 ips",1,O.5)</f>
        <v>1</v>
      </c>
      <c r="DT52">
        <v>0.2</v>
      </c>
      <c r="DU52">
        <v>1</v>
      </c>
      <c r="DV52">
        <v>1</v>
      </c>
      <c r="DW52">
        <v>0.9</v>
      </c>
      <c r="DX52">
        <f t="shared" si="40"/>
        <v>0.2</v>
      </c>
      <c r="DY52">
        <f t="shared" si="41"/>
        <v>2253.3333333333335</v>
      </c>
      <c r="DZ52">
        <f t="shared" si="42"/>
        <v>0.25722983257229837</v>
      </c>
      <c r="EA52">
        <f t="shared" si="43"/>
        <v>3.1</v>
      </c>
    </row>
    <row r="53" spans="1:131" hidden="1" x14ac:dyDescent="0.25">
      <c r="A53" t="s">
        <v>295</v>
      </c>
      <c r="B53" t="s">
        <v>130</v>
      </c>
      <c r="C53" t="s">
        <v>131</v>
      </c>
      <c r="D53" t="s">
        <v>276</v>
      </c>
      <c r="E53" t="s">
        <v>277</v>
      </c>
      <c r="F53" t="s">
        <v>234</v>
      </c>
      <c r="G53" t="s">
        <v>165</v>
      </c>
      <c r="H53" t="s">
        <v>166</v>
      </c>
      <c r="I53" t="s">
        <v>165</v>
      </c>
      <c r="M53" t="s">
        <v>137</v>
      </c>
      <c r="N53" t="b">
        <v>0</v>
      </c>
      <c r="P53" s="12" t="s">
        <v>255</v>
      </c>
      <c r="Q53" s="12" t="s">
        <v>255</v>
      </c>
      <c r="R53" s="12">
        <v>340</v>
      </c>
      <c r="S53" t="s">
        <v>148</v>
      </c>
      <c r="T53" s="12" t="s">
        <v>168</v>
      </c>
      <c r="U53" s="12">
        <v>90</v>
      </c>
      <c r="V53" t="s">
        <v>148</v>
      </c>
      <c r="Z53" s="12">
        <v>120</v>
      </c>
      <c r="AA53" s="12" t="s">
        <v>169</v>
      </c>
      <c r="AB53" s="12">
        <v>100</v>
      </c>
      <c r="AC53" t="s">
        <v>148</v>
      </c>
      <c r="AD53" s="12" t="s">
        <v>170</v>
      </c>
      <c r="AE53" s="12" t="s">
        <v>144</v>
      </c>
      <c r="AF53" s="12" t="s">
        <v>171</v>
      </c>
      <c r="AG53" s="13" t="s">
        <v>172</v>
      </c>
      <c r="AH53" s="12" t="s">
        <v>173</v>
      </c>
      <c r="AI53" s="12" t="s">
        <v>145</v>
      </c>
      <c r="AJ53" s="12" t="s">
        <v>146</v>
      </c>
      <c r="AK53" s="12" t="s">
        <v>147</v>
      </c>
      <c r="AL53" s="12" t="s">
        <v>174</v>
      </c>
      <c r="AM53" s="12">
        <v>153</v>
      </c>
      <c r="AN53" t="s">
        <v>175</v>
      </c>
      <c r="AO53" s="12">
        <v>-1412</v>
      </c>
      <c r="AP53" t="s">
        <v>186</v>
      </c>
      <c r="AQ53" s="12" t="b">
        <v>0</v>
      </c>
      <c r="AR53" s="14" t="s">
        <v>177</v>
      </c>
      <c r="BR53" s="12" t="s">
        <v>155</v>
      </c>
      <c r="BV53" s="12" t="s">
        <v>179</v>
      </c>
      <c r="CF53" s="12" t="s">
        <v>180</v>
      </c>
      <c r="CS53" s="12" t="s">
        <v>227</v>
      </c>
      <c r="DA53" s="12">
        <v>1</v>
      </c>
      <c r="DB53" s="12">
        <v>2</v>
      </c>
      <c r="DN53" s="12" t="b">
        <v>0</v>
      </c>
      <c r="DQ53">
        <f t="shared" si="38"/>
        <v>1</v>
      </c>
      <c r="DR53">
        <f t="shared" si="39"/>
        <v>1</v>
      </c>
      <c r="DS53" cm="1">
        <f t="array" ref="DS53">IF(AF53="&lt;0.2 ips",1,O.5)</f>
        <v>1</v>
      </c>
      <c r="DT53">
        <v>0.2</v>
      </c>
      <c r="DU53">
        <v>1</v>
      </c>
      <c r="DV53">
        <v>1</v>
      </c>
      <c r="DW53">
        <v>0.9</v>
      </c>
      <c r="DX53">
        <f t="shared" si="40"/>
        <v>0.2</v>
      </c>
      <c r="DY53">
        <f t="shared" si="41"/>
        <v>2253.3333333333335</v>
      </c>
      <c r="DZ53">
        <f t="shared" si="42"/>
        <v>0.25722983257229837</v>
      </c>
      <c r="EA53">
        <f t="shared" si="43"/>
        <v>3.1</v>
      </c>
    </row>
    <row r="54" spans="1:131" hidden="1" x14ac:dyDescent="0.25">
      <c r="A54" t="s">
        <v>296</v>
      </c>
      <c r="B54" t="s">
        <v>130</v>
      </c>
      <c r="C54" t="s">
        <v>131</v>
      </c>
      <c r="D54" t="s">
        <v>276</v>
      </c>
      <c r="E54" t="s">
        <v>277</v>
      </c>
      <c r="F54" t="s">
        <v>297</v>
      </c>
      <c r="G54" t="s">
        <v>165</v>
      </c>
      <c r="H54" t="s">
        <v>166</v>
      </c>
      <c r="I54" t="s">
        <v>165</v>
      </c>
      <c r="M54" t="s">
        <v>137</v>
      </c>
      <c r="N54" t="b">
        <v>0</v>
      </c>
      <c r="P54" s="12" t="s">
        <v>255</v>
      </c>
      <c r="Q54" s="12" t="s">
        <v>255</v>
      </c>
      <c r="R54" s="12">
        <v>340</v>
      </c>
      <c r="S54" t="s">
        <v>148</v>
      </c>
      <c r="T54" s="12" t="s">
        <v>168</v>
      </c>
      <c r="U54" s="12">
        <v>90</v>
      </c>
      <c r="V54" t="s">
        <v>148</v>
      </c>
      <c r="Z54" s="12">
        <v>120</v>
      </c>
      <c r="AA54" s="12" t="s">
        <v>169</v>
      </c>
      <c r="AB54" s="12">
        <v>100</v>
      </c>
      <c r="AC54" t="s">
        <v>148</v>
      </c>
      <c r="AD54" s="12" t="s">
        <v>170</v>
      </c>
      <c r="AE54" s="12" t="s">
        <v>144</v>
      </c>
      <c r="AF54" s="12" t="s">
        <v>171</v>
      </c>
      <c r="AG54" s="13" t="s">
        <v>172</v>
      </c>
      <c r="AH54" s="12" t="s">
        <v>173</v>
      </c>
      <c r="AI54" s="12" t="s">
        <v>145</v>
      </c>
      <c r="AJ54" s="12" t="s">
        <v>146</v>
      </c>
      <c r="AK54" s="12" t="s">
        <v>147</v>
      </c>
      <c r="AL54" s="12" t="s">
        <v>174</v>
      </c>
      <c r="AM54" s="12">
        <v>153</v>
      </c>
      <c r="AN54" t="s">
        <v>175</v>
      </c>
      <c r="AO54" s="12">
        <v>-1412</v>
      </c>
      <c r="AP54" t="s">
        <v>186</v>
      </c>
      <c r="AQ54" s="12" t="b">
        <v>0</v>
      </c>
      <c r="AR54" s="14" t="s">
        <v>177</v>
      </c>
      <c r="BR54" s="12" t="s">
        <v>178</v>
      </c>
      <c r="BV54" s="12" t="s">
        <v>179</v>
      </c>
      <c r="CF54" s="12" t="s">
        <v>180</v>
      </c>
      <c r="CS54" s="12" t="s">
        <v>227</v>
      </c>
      <c r="DA54" s="12">
        <v>1</v>
      </c>
      <c r="DB54" s="12">
        <v>2</v>
      </c>
      <c r="DN54" s="12" t="b">
        <v>0</v>
      </c>
      <c r="DQ54">
        <f t="shared" si="38"/>
        <v>1</v>
      </c>
      <c r="DR54">
        <f t="shared" si="39"/>
        <v>1</v>
      </c>
      <c r="DS54" cm="1">
        <f t="array" ref="DS54">IF(AF54="&lt;0.2 ips",1,O.5)</f>
        <v>1</v>
      </c>
      <c r="DT54">
        <v>0.2</v>
      </c>
      <c r="DU54">
        <v>1</v>
      </c>
      <c r="DV54">
        <v>1</v>
      </c>
      <c r="DW54">
        <v>0.9</v>
      </c>
      <c r="DX54">
        <f t="shared" si="40"/>
        <v>0.2</v>
      </c>
      <c r="DY54">
        <f t="shared" si="41"/>
        <v>2253.3333333333335</v>
      </c>
      <c r="DZ54">
        <f t="shared" si="42"/>
        <v>0.25722983257229837</v>
      </c>
      <c r="EA54">
        <f t="shared" si="43"/>
        <v>3.1</v>
      </c>
    </row>
    <row r="55" spans="1:131" hidden="1" x14ac:dyDescent="0.25">
      <c r="A55" t="s">
        <v>298</v>
      </c>
      <c r="B55" t="s">
        <v>130</v>
      </c>
      <c r="C55" t="s">
        <v>131</v>
      </c>
      <c r="D55" t="s">
        <v>299</v>
      </c>
      <c r="E55" t="s">
        <v>300</v>
      </c>
      <c r="F55" t="s">
        <v>134</v>
      </c>
      <c r="G55" t="s">
        <v>135</v>
      </c>
      <c r="H55" t="s">
        <v>166</v>
      </c>
      <c r="I55" t="s">
        <v>201</v>
      </c>
      <c r="M55" t="s">
        <v>137</v>
      </c>
      <c r="N55" t="b">
        <v>0</v>
      </c>
      <c r="P55" s="12"/>
      <c r="Q55" s="12"/>
      <c r="T55" t="s">
        <v>203</v>
      </c>
      <c r="X55" s="12" t="s">
        <v>301</v>
      </c>
      <c r="Y55" s="12">
        <v>30</v>
      </c>
      <c r="Z55" s="12">
        <v>1500</v>
      </c>
      <c r="AA55" s="12" t="s">
        <v>169</v>
      </c>
      <c r="AB55">
        <v>30</v>
      </c>
      <c r="AE55" s="12" t="s">
        <v>144</v>
      </c>
      <c r="AF55" s="12" t="s">
        <v>263</v>
      </c>
      <c r="AI55" s="12" t="s">
        <v>145</v>
      </c>
      <c r="AJ55" s="12" t="s">
        <v>146</v>
      </c>
      <c r="AK55" s="12" t="s">
        <v>147</v>
      </c>
      <c r="AL55" s="12" t="s">
        <v>174</v>
      </c>
      <c r="AM55" s="12">
        <v>14</v>
      </c>
      <c r="AN55" t="s">
        <v>175</v>
      </c>
      <c r="AO55" s="12">
        <v>6</v>
      </c>
      <c r="AP55" t="s">
        <v>176</v>
      </c>
      <c r="AQ55" s="12" t="b">
        <v>1</v>
      </c>
      <c r="AR55" s="12" t="str">
        <f>HYPERLINK("https://www.google.com/search?q=","")</f>
        <v/>
      </c>
      <c r="BR55" s="12" t="s">
        <v>155</v>
      </c>
      <c r="BV55" s="12" t="s">
        <v>210</v>
      </c>
      <c r="CF55" s="12" t="s">
        <v>187</v>
      </c>
      <c r="CS55" s="12" t="s">
        <v>227</v>
      </c>
      <c r="DA55" s="12">
        <v>2</v>
      </c>
      <c r="DN55" s="12" t="b">
        <v>0</v>
      </c>
      <c r="DQ55">
        <f>IF(T55="Ball",10,0)</f>
        <v>10</v>
      </c>
      <c r="DR55">
        <f t="shared" si="39"/>
        <v>1</v>
      </c>
      <c r="DS55">
        <v>0.5</v>
      </c>
      <c r="DT55">
        <v>0.2</v>
      </c>
      <c r="DU55">
        <v>1</v>
      </c>
      <c r="DV55">
        <v>1</v>
      </c>
      <c r="DW55">
        <v>0.9</v>
      </c>
      <c r="DX55">
        <f t="shared" si="40"/>
        <v>1</v>
      </c>
      <c r="DY55">
        <f t="shared" si="41"/>
        <v>1584.0257344605168</v>
      </c>
      <c r="DZ55">
        <f t="shared" si="42"/>
        <v>0.18082485553202246</v>
      </c>
      <c r="EA55">
        <f t="shared" si="43"/>
        <v>2.2000000000000002</v>
      </c>
    </row>
    <row r="56" spans="1:131" hidden="1" x14ac:dyDescent="0.25">
      <c r="A56" t="s">
        <v>302</v>
      </c>
      <c r="B56" t="s">
        <v>130</v>
      </c>
      <c r="C56" t="s">
        <v>131</v>
      </c>
      <c r="D56" t="s">
        <v>299</v>
      </c>
      <c r="E56" t="s">
        <v>300</v>
      </c>
      <c r="F56" t="s">
        <v>139</v>
      </c>
      <c r="G56" t="s">
        <v>140</v>
      </c>
      <c r="H56" t="s">
        <v>141</v>
      </c>
      <c r="I56" t="s">
        <v>142</v>
      </c>
      <c r="L56" t="s">
        <v>143</v>
      </c>
      <c r="M56" t="s">
        <v>137</v>
      </c>
      <c r="N56" t="b">
        <v>0</v>
      </c>
      <c r="Y56" s="12">
        <v>30</v>
      </c>
      <c r="AE56" s="12" t="s">
        <v>144</v>
      </c>
      <c r="AI56" s="12" t="s">
        <v>145</v>
      </c>
      <c r="AJ56" s="12" t="s">
        <v>146</v>
      </c>
      <c r="AK56" s="12" t="s">
        <v>147</v>
      </c>
      <c r="AR56" s="12" t="str">
        <f>HYPERLINK("https://www.google.com/search?q=Taim CH-III-185-MO","Taim CH-III-185-MO")</f>
        <v>Taim CH-III-185-MO</v>
      </c>
      <c r="AS56">
        <v>500</v>
      </c>
      <c r="AT56" t="s">
        <v>148</v>
      </c>
      <c r="AU56">
        <v>400</v>
      </c>
      <c r="AV56" t="s">
        <v>148</v>
      </c>
      <c r="AW56">
        <v>1000</v>
      </c>
      <c r="AX56" t="s">
        <v>148</v>
      </c>
      <c r="AY56" s="12">
        <v>30</v>
      </c>
      <c r="AZ56" t="s">
        <v>149</v>
      </c>
      <c r="BF56" s="12" t="s">
        <v>150</v>
      </c>
      <c r="BH56" s="12" t="s">
        <v>151</v>
      </c>
      <c r="BI56" s="12" t="s">
        <v>152</v>
      </c>
      <c r="BL56" s="12" t="s">
        <v>153</v>
      </c>
      <c r="BN56" s="12" t="s">
        <v>154</v>
      </c>
      <c r="BP56" s="12" t="s">
        <v>155</v>
      </c>
      <c r="BT56" s="12" t="s">
        <v>156</v>
      </c>
      <c r="BV56" s="12" t="s">
        <v>157</v>
      </c>
      <c r="BY56" s="12" t="s">
        <v>155</v>
      </c>
      <c r="CA56" s="12" t="s">
        <v>158</v>
      </c>
      <c r="CD56" s="12">
        <v>120</v>
      </c>
      <c r="CE56" t="s">
        <v>148</v>
      </c>
      <c r="CH56" s="12" t="s">
        <v>159</v>
      </c>
      <c r="CU56" s="12" t="s">
        <v>159</v>
      </c>
      <c r="DC56" s="12" t="b">
        <v>1</v>
      </c>
      <c r="DD56" s="12" t="s">
        <v>160</v>
      </c>
      <c r="DG56" s="12" t="s">
        <v>156</v>
      </c>
      <c r="DL56" t="s">
        <v>162</v>
      </c>
      <c r="DV56">
        <f t="shared" ref="DV56" si="44">IF(AA58="Horizontal",1,0.5)</f>
        <v>1</v>
      </c>
    </row>
    <row r="57" spans="1:131" hidden="1" x14ac:dyDescent="0.25">
      <c r="A57" t="s">
        <v>303</v>
      </c>
      <c r="B57" t="s">
        <v>130</v>
      </c>
      <c r="C57" t="s">
        <v>131</v>
      </c>
      <c r="D57" t="s">
        <v>299</v>
      </c>
      <c r="E57" t="s">
        <v>300</v>
      </c>
      <c r="F57" t="s">
        <v>164</v>
      </c>
      <c r="G57" t="s">
        <v>165</v>
      </c>
      <c r="H57" t="s">
        <v>166</v>
      </c>
      <c r="I57" t="s">
        <v>165</v>
      </c>
      <c r="M57" t="s">
        <v>137</v>
      </c>
      <c r="N57" t="b">
        <v>0</v>
      </c>
      <c r="P57" s="12" t="s">
        <v>304</v>
      </c>
      <c r="Q57" s="12" t="s">
        <v>304</v>
      </c>
      <c r="R57" s="12">
        <v>180</v>
      </c>
      <c r="S57" t="s">
        <v>148</v>
      </c>
      <c r="T57" s="12" t="s">
        <v>168</v>
      </c>
      <c r="U57" s="12">
        <v>46</v>
      </c>
      <c r="V57" t="s">
        <v>148</v>
      </c>
      <c r="Z57" s="12">
        <v>120</v>
      </c>
      <c r="AA57" s="12" t="s">
        <v>169</v>
      </c>
      <c r="AB57" s="12">
        <v>100</v>
      </c>
      <c r="AC57" t="s">
        <v>148</v>
      </c>
      <c r="AD57" s="12" t="s">
        <v>170</v>
      </c>
      <c r="AE57" s="12" t="s">
        <v>144</v>
      </c>
      <c r="AF57" s="12" t="s">
        <v>171</v>
      </c>
      <c r="AG57" s="13" t="s">
        <v>172</v>
      </c>
      <c r="AH57" s="12" t="s">
        <v>173</v>
      </c>
      <c r="AI57" s="12" t="s">
        <v>145</v>
      </c>
      <c r="AJ57" s="12" t="s">
        <v>146</v>
      </c>
      <c r="AK57" s="12" t="s">
        <v>147</v>
      </c>
      <c r="AL57" s="12" t="s">
        <v>174</v>
      </c>
      <c r="AM57" s="12">
        <v>41</v>
      </c>
      <c r="AN57" t="s">
        <v>175</v>
      </c>
      <c r="AO57" s="12">
        <v>-1412</v>
      </c>
      <c r="AQ57" s="12" t="b">
        <v>0</v>
      </c>
      <c r="AR57" s="14" t="s">
        <v>177</v>
      </c>
      <c r="BR57" s="12" t="s">
        <v>178</v>
      </c>
      <c r="BV57" s="12" t="s">
        <v>179</v>
      </c>
      <c r="CF57" s="12" t="s">
        <v>180</v>
      </c>
      <c r="CS57" s="12" t="s">
        <v>227</v>
      </c>
      <c r="DA57" s="12">
        <v>1</v>
      </c>
      <c r="DB57" s="12">
        <v>2</v>
      </c>
      <c r="DN57" s="12" t="b">
        <v>0</v>
      </c>
      <c r="DQ57">
        <f t="shared" ref="DQ57:DQ60" si="45">IF(T57="Tapered/Spherical",1,0)</f>
        <v>1</v>
      </c>
      <c r="DR57">
        <f t="shared" ref="DR57:DR60" si="46">IF(AE57="125°F (51.7°C) - 150°F (65.6°C)",1,0.5)</f>
        <v>1</v>
      </c>
      <c r="DS57" cm="1">
        <f t="array" ref="DS57">IF(AF57="&lt;0.2 ips",1,O.5)</f>
        <v>1</v>
      </c>
      <c r="DT57">
        <v>0.2</v>
      </c>
      <c r="DU57">
        <v>1</v>
      </c>
      <c r="DV57">
        <v>1</v>
      </c>
      <c r="DW57">
        <v>0.9</v>
      </c>
      <c r="DX57">
        <f t="shared" ref="DX57:DX60" si="47">PRODUCT(DQ57:DV57)</f>
        <v>0.2</v>
      </c>
      <c r="DY57">
        <f t="shared" ref="DY57:DY60" si="48">+DX57*((14000000/(Z57*AB57^0.5))-4*AB57)</f>
        <v>2253.3333333333335</v>
      </c>
      <c r="DZ57">
        <f t="shared" ref="DZ57:DZ60" si="49">+DY57/8760</f>
        <v>0.25722983257229837</v>
      </c>
      <c r="EA57">
        <f t="shared" ref="EA57:EA60" si="50">ROUND(+DZ57*12,1)</f>
        <v>3.1</v>
      </c>
    </row>
    <row r="58" spans="1:131" hidden="1" x14ac:dyDescent="0.25">
      <c r="A58" t="s">
        <v>305</v>
      </c>
      <c r="B58" t="s">
        <v>130</v>
      </c>
      <c r="C58" t="s">
        <v>131</v>
      </c>
      <c r="D58" t="s">
        <v>299</v>
      </c>
      <c r="E58" t="s">
        <v>300</v>
      </c>
      <c r="F58" t="s">
        <v>183</v>
      </c>
      <c r="G58" t="s">
        <v>165</v>
      </c>
      <c r="H58" t="s">
        <v>166</v>
      </c>
      <c r="I58" t="s">
        <v>165</v>
      </c>
      <c r="L58" t="s">
        <v>306</v>
      </c>
      <c r="M58" t="s">
        <v>137</v>
      </c>
      <c r="N58" t="b">
        <v>0</v>
      </c>
      <c r="P58" s="12" t="s">
        <v>307</v>
      </c>
      <c r="Q58" s="12" t="s">
        <v>307</v>
      </c>
      <c r="R58" s="12">
        <v>215</v>
      </c>
      <c r="S58" t="s">
        <v>148</v>
      </c>
      <c r="T58" s="12" t="s">
        <v>168</v>
      </c>
      <c r="U58" s="12">
        <v>73</v>
      </c>
      <c r="V58" t="s">
        <v>148</v>
      </c>
      <c r="Z58" s="12">
        <v>120</v>
      </c>
      <c r="AA58" s="12" t="s">
        <v>169</v>
      </c>
      <c r="AB58" s="12">
        <v>100</v>
      </c>
      <c r="AC58" t="s">
        <v>148</v>
      </c>
      <c r="AD58" s="12" t="s">
        <v>170</v>
      </c>
      <c r="AE58" s="12" t="s">
        <v>144</v>
      </c>
      <c r="AF58" s="12" t="s">
        <v>171</v>
      </c>
      <c r="AG58" s="13" t="s">
        <v>172</v>
      </c>
      <c r="AH58" s="12" t="s">
        <v>173</v>
      </c>
      <c r="AI58" s="12" t="s">
        <v>145</v>
      </c>
      <c r="AJ58" s="12" t="s">
        <v>146</v>
      </c>
      <c r="AK58" s="12" t="s">
        <v>147</v>
      </c>
      <c r="AL58" s="12" t="s">
        <v>174</v>
      </c>
      <c r="AM58" s="12">
        <v>79</v>
      </c>
      <c r="AN58" t="s">
        <v>175</v>
      </c>
      <c r="AO58" s="12">
        <v>-18142</v>
      </c>
      <c r="AQ58" s="12" t="b">
        <v>0</v>
      </c>
      <c r="AR58" s="14" t="s">
        <v>177</v>
      </c>
      <c r="BR58" s="12" t="s">
        <v>178</v>
      </c>
      <c r="BV58" s="12" t="s">
        <v>179</v>
      </c>
      <c r="CF58" s="12" t="s">
        <v>187</v>
      </c>
      <c r="CS58" s="12" t="s">
        <v>227</v>
      </c>
      <c r="DA58" s="12">
        <v>1</v>
      </c>
      <c r="DB58" s="12">
        <v>2</v>
      </c>
      <c r="DN58" s="12" t="b">
        <v>0</v>
      </c>
      <c r="DQ58">
        <f t="shared" si="45"/>
        <v>1</v>
      </c>
      <c r="DR58">
        <f t="shared" si="46"/>
        <v>1</v>
      </c>
      <c r="DS58" cm="1">
        <f t="array" ref="DS58">IF(AF58="&lt;0.2 ips",1,O.5)</f>
        <v>1</v>
      </c>
      <c r="DT58">
        <v>0.2</v>
      </c>
      <c r="DU58">
        <v>1</v>
      </c>
      <c r="DV58">
        <v>1</v>
      </c>
      <c r="DW58">
        <v>0.9</v>
      </c>
      <c r="DX58">
        <f t="shared" si="47"/>
        <v>0.2</v>
      </c>
      <c r="DY58">
        <f t="shared" si="48"/>
        <v>2253.3333333333335</v>
      </c>
      <c r="DZ58">
        <f t="shared" si="49"/>
        <v>0.25722983257229837</v>
      </c>
      <c r="EA58">
        <f t="shared" si="50"/>
        <v>3.1</v>
      </c>
    </row>
    <row r="59" spans="1:131" hidden="1" x14ac:dyDescent="0.25">
      <c r="A59" t="s">
        <v>308</v>
      </c>
      <c r="B59" t="s">
        <v>130</v>
      </c>
      <c r="C59" t="s">
        <v>131</v>
      </c>
      <c r="D59" t="s">
        <v>309</v>
      </c>
      <c r="E59" t="s">
        <v>310</v>
      </c>
      <c r="F59" t="s">
        <v>311</v>
      </c>
      <c r="G59" t="s">
        <v>165</v>
      </c>
      <c r="H59" t="s">
        <v>166</v>
      </c>
      <c r="I59" t="s">
        <v>165</v>
      </c>
      <c r="L59" t="s">
        <v>312</v>
      </c>
      <c r="M59" t="s">
        <v>137</v>
      </c>
      <c r="N59" t="b">
        <v>0</v>
      </c>
      <c r="P59" s="12"/>
      <c r="Q59" s="12"/>
      <c r="R59" s="12">
        <v>300</v>
      </c>
      <c r="S59" t="s">
        <v>148</v>
      </c>
      <c r="T59" s="12" t="s">
        <v>168</v>
      </c>
      <c r="U59" s="12">
        <v>250</v>
      </c>
      <c r="V59" t="s">
        <v>148</v>
      </c>
      <c r="Z59" s="12">
        <v>50</v>
      </c>
      <c r="AA59" s="12" t="s">
        <v>169</v>
      </c>
      <c r="AB59" s="12">
        <v>120</v>
      </c>
      <c r="AC59" t="s">
        <v>148</v>
      </c>
      <c r="AD59" s="12" t="s">
        <v>313</v>
      </c>
      <c r="AE59" s="12" t="s">
        <v>144</v>
      </c>
      <c r="AF59" s="12" t="s">
        <v>263</v>
      </c>
      <c r="AG59" s="13" t="s">
        <v>172</v>
      </c>
      <c r="AH59" s="12" t="s">
        <v>173</v>
      </c>
      <c r="AI59" s="12" t="s">
        <v>145</v>
      </c>
      <c r="AJ59" s="12" t="s">
        <v>146</v>
      </c>
      <c r="AK59" s="12" t="s">
        <v>147</v>
      </c>
      <c r="AL59" s="12" t="s">
        <v>314</v>
      </c>
      <c r="AM59" s="12">
        <v>375</v>
      </c>
      <c r="AN59" t="s">
        <v>175</v>
      </c>
      <c r="AO59" s="12">
        <v>-923</v>
      </c>
      <c r="AP59" t="s">
        <v>186</v>
      </c>
      <c r="AQ59" s="12" t="b">
        <v>0</v>
      </c>
      <c r="AR59" s="14" t="s">
        <v>177</v>
      </c>
      <c r="AU59">
        <v>150</v>
      </c>
      <c r="AV59" t="s">
        <v>148</v>
      </c>
      <c r="BR59" s="12" t="s">
        <v>155</v>
      </c>
      <c r="BV59" s="12" t="s">
        <v>179</v>
      </c>
      <c r="CF59" s="12" t="s">
        <v>180</v>
      </c>
      <c r="CS59" s="12" t="s">
        <v>227</v>
      </c>
      <c r="DA59" s="12">
        <v>1</v>
      </c>
      <c r="DB59" s="12">
        <v>3</v>
      </c>
      <c r="DN59" s="12" t="b">
        <v>0</v>
      </c>
      <c r="DQ59">
        <f t="shared" si="45"/>
        <v>1</v>
      </c>
      <c r="DR59">
        <f t="shared" si="46"/>
        <v>1</v>
      </c>
      <c r="DS59">
        <v>0.5</v>
      </c>
      <c r="DT59">
        <v>0.2</v>
      </c>
      <c r="DU59">
        <v>1</v>
      </c>
      <c r="DV59">
        <v>1</v>
      </c>
      <c r="DW59">
        <v>0.6</v>
      </c>
      <c r="DX59">
        <f t="shared" si="47"/>
        <v>0.1</v>
      </c>
      <c r="DY59">
        <f t="shared" si="48"/>
        <v>2508.0386016907751</v>
      </c>
      <c r="DZ59">
        <f t="shared" si="49"/>
        <v>0.28630577644871863</v>
      </c>
      <c r="EA59">
        <f t="shared" si="50"/>
        <v>3.4</v>
      </c>
    </row>
    <row r="60" spans="1:131" hidden="1" x14ac:dyDescent="0.25">
      <c r="A60" t="s">
        <v>315</v>
      </c>
      <c r="B60" t="s">
        <v>130</v>
      </c>
      <c r="C60" t="s">
        <v>131</v>
      </c>
      <c r="D60" t="s">
        <v>309</v>
      </c>
      <c r="E60" t="s">
        <v>310</v>
      </c>
      <c r="F60" t="s">
        <v>316</v>
      </c>
      <c r="G60" t="s">
        <v>165</v>
      </c>
      <c r="H60" t="s">
        <v>166</v>
      </c>
      <c r="I60" t="s">
        <v>165</v>
      </c>
      <c r="L60" t="s">
        <v>312</v>
      </c>
      <c r="M60" t="s">
        <v>137</v>
      </c>
      <c r="N60" t="b">
        <v>0</v>
      </c>
      <c r="P60" s="12"/>
      <c r="Q60" s="12"/>
      <c r="R60" s="12">
        <v>300</v>
      </c>
      <c r="S60" t="s">
        <v>148</v>
      </c>
      <c r="T60" s="12" t="s">
        <v>168</v>
      </c>
      <c r="U60" s="12">
        <v>250</v>
      </c>
      <c r="V60" t="s">
        <v>148</v>
      </c>
      <c r="Z60" s="12">
        <v>50</v>
      </c>
      <c r="AA60" s="12" t="s">
        <v>169</v>
      </c>
      <c r="AB60" s="12">
        <v>120</v>
      </c>
      <c r="AC60" t="s">
        <v>148</v>
      </c>
      <c r="AD60" s="12" t="s">
        <v>313</v>
      </c>
      <c r="AE60" s="12" t="s">
        <v>144</v>
      </c>
      <c r="AF60" s="12" t="s">
        <v>263</v>
      </c>
      <c r="AG60" s="13" t="s">
        <v>172</v>
      </c>
      <c r="AH60" s="12" t="s">
        <v>173</v>
      </c>
      <c r="AI60" s="12" t="s">
        <v>145</v>
      </c>
      <c r="AJ60" s="12" t="s">
        <v>146</v>
      </c>
      <c r="AK60" s="12" t="s">
        <v>147</v>
      </c>
      <c r="AL60" s="12" t="s">
        <v>314</v>
      </c>
      <c r="AM60" s="12">
        <v>375</v>
      </c>
      <c r="AN60" t="s">
        <v>175</v>
      </c>
      <c r="AO60" s="12">
        <v>-923</v>
      </c>
      <c r="AQ60" s="12" t="b">
        <v>0</v>
      </c>
      <c r="AR60" s="14" t="s">
        <v>177</v>
      </c>
      <c r="AU60">
        <v>150</v>
      </c>
      <c r="AV60" t="s">
        <v>148</v>
      </c>
      <c r="BR60" s="12" t="s">
        <v>155</v>
      </c>
      <c r="BV60" s="12" t="s">
        <v>179</v>
      </c>
      <c r="CF60" s="12" t="s">
        <v>180</v>
      </c>
      <c r="CS60" s="12" t="s">
        <v>227</v>
      </c>
      <c r="DA60" s="12">
        <v>1</v>
      </c>
      <c r="DB60" s="12">
        <v>3</v>
      </c>
      <c r="DN60" s="12" t="b">
        <v>0</v>
      </c>
      <c r="DQ60">
        <f t="shared" si="45"/>
        <v>1</v>
      </c>
      <c r="DR60">
        <f t="shared" si="46"/>
        <v>1</v>
      </c>
      <c r="DS60">
        <v>0.5</v>
      </c>
      <c r="DT60">
        <v>0.2</v>
      </c>
      <c r="DU60">
        <v>1</v>
      </c>
      <c r="DV60">
        <v>1</v>
      </c>
      <c r="DW60">
        <v>0.6</v>
      </c>
      <c r="DX60">
        <f t="shared" si="47"/>
        <v>0.1</v>
      </c>
      <c r="DY60">
        <f t="shared" si="48"/>
        <v>2508.0386016907751</v>
      </c>
      <c r="DZ60">
        <f t="shared" si="49"/>
        <v>0.28630577644871863</v>
      </c>
      <c r="EA60">
        <f t="shared" si="50"/>
        <v>3.4</v>
      </c>
    </row>
    <row r="61" spans="1:131" hidden="1" x14ac:dyDescent="0.25">
      <c r="A61" t="s">
        <v>317</v>
      </c>
      <c r="B61" t="s">
        <v>130</v>
      </c>
      <c r="C61" t="s">
        <v>131</v>
      </c>
      <c r="D61" t="s">
        <v>309</v>
      </c>
      <c r="E61" t="s">
        <v>310</v>
      </c>
      <c r="F61" t="s">
        <v>318</v>
      </c>
      <c r="G61" t="s">
        <v>319</v>
      </c>
      <c r="H61" t="s">
        <v>320</v>
      </c>
      <c r="I61" t="s">
        <v>319</v>
      </c>
      <c r="M61" t="s">
        <v>137</v>
      </c>
      <c r="N61" t="b">
        <v>0</v>
      </c>
      <c r="Z61" s="12">
        <v>10</v>
      </c>
      <c r="AI61" s="12" t="s">
        <v>145</v>
      </c>
      <c r="AJ61" s="12" t="s">
        <v>146</v>
      </c>
      <c r="AK61" s="12" t="s">
        <v>147</v>
      </c>
      <c r="AO61" s="12">
        <v>1</v>
      </c>
      <c r="AP61" t="s">
        <v>321</v>
      </c>
      <c r="BG61" s="12">
        <v>550</v>
      </c>
      <c r="BV61" s="12"/>
      <c r="CW61" s="12" t="s">
        <v>322</v>
      </c>
      <c r="DB61" s="12">
        <v>2</v>
      </c>
      <c r="DV61">
        <f t="shared" ref="DV61:DV74" si="51">IF(AA63="Horizontal",1,0.5)</f>
        <v>1</v>
      </c>
    </row>
    <row r="62" spans="1:131" hidden="1" x14ac:dyDescent="0.25">
      <c r="A62" t="s">
        <v>323</v>
      </c>
      <c r="B62" t="s">
        <v>130</v>
      </c>
      <c r="C62" t="s">
        <v>131</v>
      </c>
      <c r="D62" t="s">
        <v>309</v>
      </c>
      <c r="E62" t="s">
        <v>310</v>
      </c>
      <c r="F62" t="s">
        <v>324</v>
      </c>
      <c r="G62" t="s">
        <v>201</v>
      </c>
      <c r="H62" t="s">
        <v>202</v>
      </c>
      <c r="I62" t="s">
        <v>201</v>
      </c>
      <c r="M62" t="s">
        <v>137</v>
      </c>
      <c r="N62" t="b">
        <v>0</v>
      </c>
      <c r="P62" s="12"/>
      <c r="Q62" s="12"/>
      <c r="T62" t="s">
        <v>203</v>
      </c>
      <c r="X62" s="12" t="s">
        <v>204</v>
      </c>
      <c r="Y62" s="12">
        <v>55</v>
      </c>
      <c r="Z62" s="12">
        <v>1500</v>
      </c>
      <c r="AA62" s="12" t="s">
        <v>169</v>
      </c>
      <c r="AB62">
        <v>60</v>
      </c>
      <c r="AC62" t="s">
        <v>148</v>
      </c>
      <c r="AE62" s="12" t="s">
        <v>144</v>
      </c>
      <c r="AF62" s="12" t="s">
        <v>263</v>
      </c>
      <c r="AI62" s="12" t="s">
        <v>145</v>
      </c>
      <c r="AJ62" s="12" t="s">
        <v>146</v>
      </c>
      <c r="AK62" s="12" t="s">
        <v>147</v>
      </c>
      <c r="AL62" s="12" t="s">
        <v>314</v>
      </c>
      <c r="AM62" s="12">
        <v>21</v>
      </c>
      <c r="AN62" t="s">
        <v>175</v>
      </c>
      <c r="AO62" s="12">
        <v>6</v>
      </c>
      <c r="AP62" t="s">
        <v>176</v>
      </c>
      <c r="AQ62" s="12" t="b">
        <v>1</v>
      </c>
      <c r="AR62" s="12" t="str">
        <f>HYPERLINK("https://www.google.com/search?q=","")</f>
        <v/>
      </c>
      <c r="BR62" s="12"/>
      <c r="BV62" s="12" t="s">
        <v>210</v>
      </c>
      <c r="CF62" s="12"/>
      <c r="CS62" s="12"/>
      <c r="DA62" s="12"/>
      <c r="DN62" s="12"/>
      <c r="DQ62">
        <f t="shared" ref="DQ62:DQ63" si="52">IF(T62="Ball",10,0)</f>
        <v>10</v>
      </c>
      <c r="DR62">
        <f t="shared" ref="DR62:DR63" si="53">IF(AE62="125°F (51.7°C) - 150°F (65.6°C)",1,0.5)</f>
        <v>1</v>
      </c>
      <c r="DS62">
        <v>0.5</v>
      </c>
      <c r="DT62">
        <v>0.2</v>
      </c>
      <c r="DU62">
        <v>1</v>
      </c>
      <c r="DV62">
        <v>1</v>
      </c>
      <c r="DW62">
        <v>0.6</v>
      </c>
      <c r="DX62">
        <f t="shared" ref="DX62:DX63" si="54">PRODUCT(DQ62:DV62)</f>
        <v>1</v>
      </c>
      <c r="DY62">
        <f t="shared" ref="DY62:DY63" si="55">+DX62*((14000000/(Z62*AB62^0.5))-4*AB62)</f>
        <v>964.92815215341852</v>
      </c>
      <c r="DZ62">
        <f t="shared" ref="DZ62:DZ63" si="56">+DY62/8760</f>
        <v>0.11015161554262769</v>
      </c>
      <c r="EA62">
        <f t="shared" ref="EA62:EA63" si="57">ROUND(+DZ62*12,1)</f>
        <v>1.3</v>
      </c>
    </row>
    <row r="63" spans="1:131" hidden="1" x14ac:dyDescent="0.25">
      <c r="A63" t="s">
        <v>325</v>
      </c>
      <c r="B63" t="s">
        <v>130</v>
      </c>
      <c r="C63" t="s">
        <v>131</v>
      </c>
      <c r="D63" t="s">
        <v>309</v>
      </c>
      <c r="E63" t="s">
        <v>310</v>
      </c>
      <c r="F63" t="s">
        <v>324</v>
      </c>
      <c r="G63" t="s">
        <v>201</v>
      </c>
      <c r="H63" t="s">
        <v>212</v>
      </c>
      <c r="I63" t="s">
        <v>201</v>
      </c>
      <c r="M63" t="s">
        <v>137</v>
      </c>
      <c r="N63" t="b">
        <v>0</v>
      </c>
      <c r="P63" s="12"/>
      <c r="Q63" s="12"/>
      <c r="T63" t="s">
        <v>203</v>
      </c>
      <c r="X63" s="12" t="s">
        <v>204</v>
      </c>
      <c r="Y63" s="12">
        <v>55</v>
      </c>
      <c r="Z63" s="12">
        <v>1500</v>
      </c>
      <c r="AA63" s="12" t="s">
        <v>169</v>
      </c>
      <c r="AB63">
        <v>60</v>
      </c>
      <c r="AC63" t="s">
        <v>148</v>
      </c>
      <c r="AE63" s="12" t="s">
        <v>144</v>
      </c>
      <c r="AF63" s="12" t="s">
        <v>263</v>
      </c>
      <c r="AI63" s="12" t="s">
        <v>145</v>
      </c>
      <c r="AJ63" s="12" t="s">
        <v>146</v>
      </c>
      <c r="AK63" s="12" t="s">
        <v>147</v>
      </c>
      <c r="AL63" s="12" t="s">
        <v>314</v>
      </c>
      <c r="AM63" s="12">
        <v>21</v>
      </c>
      <c r="AN63" t="s">
        <v>175</v>
      </c>
      <c r="AO63" s="12">
        <v>9</v>
      </c>
      <c r="AP63" t="s">
        <v>176</v>
      </c>
      <c r="AQ63" s="12" t="b">
        <v>1</v>
      </c>
      <c r="AR63" s="12" t="str">
        <f>HYPERLINK("https://www.google.com/search?q=","")</f>
        <v/>
      </c>
      <c r="BR63" s="12"/>
      <c r="BV63" s="12" t="s">
        <v>210</v>
      </c>
      <c r="CF63" s="12"/>
      <c r="CS63" s="12"/>
      <c r="DA63" s="12"/>
      <c r="DN63" s="12"/>
      <c r="DQ63">
        <f t="shared" si="52"/>
        <v>10</v>
      </c>
      <c r="DR63">
        <f t="shared" si="53"/>
        <v>1</v>
      </c>
      <c r="DS63">
        <v>0.5</v>
      </c>
      <c r="DT63">
        <v>0.2</v>
      </c>
      <c r="DU63">
        <v>1</v>
      </c>
      <c r="DV63">
        <v>1</v>
      </c>
      <c r="DW63">
        <v>0.6</v>
      </c>
      <c r="DX63">
        <f t="shared" si="54"/>
        <v>1</v>
      </c>
      <c r="DY63">
        <f t="shared" si="55"/>
        <v>964.92815215341852</v>
      </c>
      <c r="DZ63">
        <f t="shared" si="56"/>
        <v>0.11015161554262769</v>
      </c>
      <c r="EA63">
        <f t="shared" si="57"/>
        <v>1.3</v>
      </c>
    </row>
    <row r="64" spans="1:131" hidden="1" x14ac:dyDescent="0.25">
      <c r="A64" t="s">
        <v>326</v>
      </c>
      <c r="B64" t="s">
        <v>130</v>
      </c>
      <c r="C64" t="s">
        <v>131</v>
      </c>
      <c r="D64" t="s">
        <v>309</v>
      </c>
      <c r="E64" t="s">
        <v>310</v>
      </c>
      <c r="F64" t="s">
        <v>327</v>
      </c>
      <c r="G64" t="s">
        <v>135</v>
      </c>
      <c r="H64" t="s">
        <v>136</v>
      </c>
      <c r="I64" t="s">
        <v>135</v>
      </c>
      <c r="M64" t="s">
        <v>137</v>
      </c>
      <c r="N64" t="b">
        <v>0</v>
      </c>
      <c r="Y64">
        <v>3</v>
      </c>
      <c r="Z64" s="12">
        <v>750</v>
      </c>
      <c r="DB64" s="12">
        <v>1</v>
      </c>
      <c r="DV64">
        <f t="shared" si="51"/>
        <v>0.5</v>
      </c>
    </row>
    <row r="65" spans="1:131" hidden="1" x14ac:dyDescent="0.25">
      <c r="A65" t="s">
        <v>328</v>
      </c>
      <c r="B65" t="s">
        <v>130</v>
      </c>
      <c r="C65" t="s">
        <v>131</v>
      </c>
      <c r="D65" t="s">
        <v>309</v>
      </c>
      <c r="E65" t="s">
        <v>310</v>
      </c>
      <c r="F65" t="s">
        <v>329</v>
      </c>
      <c r="G65" t="s">
        <v>135</v>
      </c>
      <c r="H65" t="s">
        <v>136</v>
      </c>
      <c r="I65" t="s">
        <v>135</v>
      </c>
      <c r="M65" t="s">
        <v>137</v>
      </c>
      <c r="N65" t="b">
        <v>0</v>
      </c>
      <c r="Y65">
        <v>3</v>
      </c>
      <c r="Z65" s="12">
        <v>750</v>
      </c>
      <c r="DB65" s="12">
        <v>1</v>
      </c>
      <c r="DV65">
        <f t="shared" si="51"/>
        <v>0.5</v>
      </c>
    </row>
    <row r="66" spans="1:131" hidden="1" x14ac:dyDescent="0.25">
      <c r="A66" t="s">
        <v>330</v>
      </c>
      <c r="B66" t="s">
        <v>130</v>
      </c>
      <c r="C66" t="s">
        <v>131</v>
      </c>
      <c r="D66" t="s">
        <v>309</v>
      </c>
      <c r="E66" t="s">
        <v>310</v>
      </c>
      <c r="F66" t="s">
        <v>331</v>
      </c>
      <c r="G66" t="s">
        <v>140</v>
      </c>
      <c r="H66" t="s">
        <v>141</v>
      </c>
      <c r="I66" t="s">
        <v>142</v>
      </c>
      <c r="M66" t="s">
        <v>137</v>
      </c>
      <c r="N66" t="b">
        <v>0</v>
      </c>
      <c r="Y66" s="12">
        <v>3</v>
      </c>
      <c r="AE66" s="12" t="s">
        <v>144</v>
      </c>
      <c r="AI66" s="12" t="s">
        <v>145</v>
      </c>
      <c r="AJ66" s="12" t="s">
        <v>146</v>
      </c>
      <c r="AK66" s="12" t="s">
        <v>147</v>
      </c>
      <c r="AR66" s="12" t="str">
        <f>HYPERLINK("https://www.google.com/search?q=Ralpe RTTH-315","Ralpe RTTH-315")</f>
        <v>Ralpe RTTH-315</v>
      </c>
      <c r="AS66">
        <v>600</v>
      </c>
      <c r="AT66" t="s">
        <v>148</v>
      </c>
      <c r="AU66">
        <v>300</v>
      </c>
      <c r="AV66" t="s">
        <v>148</v>
      </c>
      <c r="AW66">
        <v>1200</v>
      </c>
      <c r="AX66" t="s">
        <v>148</v>
      </c>
      <c r="AY66" s="12">
        <v>60</v>
      </c>
      <c r="AZ66" t="s">
        <v>149</v>
      </c>
      <c r="BF66" s="12" t="s">
        <v>332</v>
      </c>
      <c r="BH66" s="12" t="s">
        <v>151</v>
      </c>
      <c r="BI66" s="12" t="s">
        <v>152</v>
      </c>
      <c r="BL66" s="12" t="s">
        <v>153</v>
      </c>
      <c r="BN66" s="12" t="s">
        <v>154</v>
      </c>
      <c r="BP66" s="12" t="s">
        <v>155</v>
      </c>
      <c r="BT66" s="12" t="s">
        <v>156</v>
      </c>
      <c r="BV66" s="12" t="s">
        <v>157</v>
      </c>
      <c r="BY66" s="12" t="s">
        <v>155</v>
      </c>
      <c r="CA66" s="12" t="s">
        <v>218</v>
      </c>
      <c r="CD66" s="12">
        <v>120</v>
      </c>
      <c r="CE66" t="s">
        <v>148</v>
      </c>
      <c r="CH66" s="12" t="s">
        <v>159</v>
      </c>
      <c r="CU66" s="12" t="s">
        <v>333</v>
      </c>
      <c r="DC66" s="12" t="b">
        <v>1</v>
      </c>
      <c r="DD66" s="12" t="s">
        <v>219</v>
      </c>
      <c r="DG66" s="12" t="s">
        <v>334</v>
      </c>
      <c r="DL66" t="s">
        <v>162</v>
      </c>
      <c r="DV66">
        <f t="shared" si="51"/>
        <v>0.5</v>
      </c>
    </row>
    <row r="67" spans="1:131" hidden="1" x14ac:dyDescent="0.25">
      <c r="A67" t="s">
        <v>335</v>
      </c>
      <c r="B67" t="s">
        <v>130</v>
      </c>
      <c r="C67" t="s">
        <v>131</v>
      </c>
      <c r="D67" t="s">
        <v>309</v>
      </c>
      <c r="E67" t="s">
        <v>310</v>
      </c>
      <c r="F67" t="s">
        <v>336</v>
      </c>
      <c r="G67" t="s">
        <v>140</v>
      </c>
      <c r="H67" t="s">
        <v>141</v>
      </c>
      <c r="I67" t="s">
        <v>142</v>
      </c>
      <c r="L67" t="s">
        <v>337</v>
      </c>
      <c r="M67" t="s">
        <v>137</v>
      </c>
      <c r="N67" t="b">
        <v>0</v>
      </c>
      <c r="Y67" s="12">
        <v>3</v>
      </c>
      <c r="AE67" s="12" t="s">
        <v>144</v>
      </c>
      <c r="AI67" s="12" t="s">
        <v>206</v>
      </c>
      <c r="AJ67" s="12" t="s">
        <v>146</v>
      </c>
      <c r="AK67" s="12" t="s">
        <v>147</v>
      </c>
      <c r="AR67" s="12" t="str">
        <f>HYPERLINK("https://www.google.com/search?q=Adaro PF-7","Adaro PF-7")</f>
        <v>Adaro PF-7</v>
      </c>
      <c r="AS67">
        <v>600</v>
      </c>
      <c r="AT67" t="s">
        <v>148</v>
      </c>
      <c r="AU67">
        <v>300</v>
      </c>
      <c r="AV67" t="s">
        <v>148</v>
      </c>
      <c r="AW67">
        <v>1000</v>
      </c>
      <c r="AX67" t="s">
        <v>148</v>
      </c>
      <c r="AY67" s="12">
        <v>5</v>
      </c>
      <c r="AZ67" t="s">
        <v>149</v>
      </c>
      <c r="BF67" s="12" t="s">
        <v>338</v>
      </c>
      <c r="BH67" s="12" t="s">
        <v>151</v>
      </c>
      <c r="BI67" s="12" t="s">
        <v>152</v>
      </c>
      <c r="BL67" s="15" t="s">
        <v>339</v>
      </c>
      <c r="BN67" s="12" t="s">
        <v>154</v>
      </c>
      <c r="BP67" s="12" t="s">
        <v>155</v>
      </c>
      <c r="BT67" s="12" t="s">
        <v>340</v>
      </c>
      <c r="BV67" s="12" t="s">
        <v>157</v>
      </c>
      <c r="BY67" s="12" t="s">
        <v>155</v>
      </c>
      <c r="CA67" s="12" t="s">
        <v>158</v>
      </c>
      <c r="CD67" s="12">
        <v>120</v>
      </c>
      <c r="CE67" t="s">
        <v>148</v>
      </c>
      <c r="CH67" s="15" t="s">
        <v>339</v>
      </c>
      <c r="CU67" s="12" t="s">
        <v>159</v>
      </c>
      <c r="DC67" s="12" t="b">
        <v>1</v>
      </c>
      <c r="DD67" s="12" t="s">
        <v>219</v>
      </c>
      <c r="DG67" s="12" t="s">
        <v>341</v>
      </c>
      <c r="DL67" t="s">
        <v>162</v>
      </c>
      <c r="DV67">
        <f t="shared" si="51"/>
        <v>1</v>
      </c>
    </row>
    <row r="68" spans="1:131" hidden="1" x14ac:dyDescent="0.25">
      <c r="A68" t="s">
        <v>342</v>
      </c>
      <c r="B68" t="s">
        <v>130</v>
      </c>
      <c r="C68" t="s">
        <v>131</v>
      </c>
      <c r="D68" t="s">
        <v>309</v>
      </c>
      <c r="E68" t="s">
        <v>310</v>
      </c>
      <c r="F68" t="s">
        <v>343</v>
      </c>
      <c r="G68" t="s">
        <v>140</v>
      </c>
      <c r="H68" t="s">
        <v>141</v>
      </c>
      <c r="I68" t="s">
        <v>142</v>
      </c>
      <c r="M68" t="s">
        <v>137</v>
      </c>
      <c r="N68" t="b">
        <v>0</v>
      </c>
      <c r="Y68" s="12">
        <v>3</v>
      </c>
      <c r="AE68" s="12" t="s">
        <v>144</v>
      </c>
      <c r="AI68" s="12" t="s">
        <v>206</v>
      </c>
      <c r="AJ68" s="12" t="s">
        <v>146</v>
      </c>
      <c r="AK68" s="12" t="s">
        <v>147</v>
      </c>
      <c r="AR68" s="12" t="str">
        <f>HYPERLINK("https://www.google.com/search?q=Adaro PF-7","Adaro PF-7")</f>
        <v>Adaro PF-7</v>
      </c>
      <c r="AS68">
        <v>600</v>
      </c>
      <c r="AT68" t="s">
        <v>148</v>
      </c>
      <c r="AU68">
        <v>300</v>
      </c>
      <c r="AV68" t="s">
        <v>148</v>
      </c>
      <c r="AW68">
        <v>1000</v>
      </c>
      <c r="AX68" t="s">
        <v>148</v>
      </c>
      <c r="AY68" s="12">
        <v>5</v>
      </c>
      <c r="AZ68" t="s">
        <v>149</v>
      </c>
      <c r="BF68" s="12" t="s">
        <v>338</v>
      </c>
      <c r="BH68" s="12" t="s">
        <v>151</v>
      </c>
      <c r="BI68" s="12" t="s">
        <v>152</v>
      </c>
      <c r="BL68" s="15" t="s">
        <v>339</v>
      </c>
      <c r="BN68" s="12" t="s">
        <v>154</v>
      </c>
      <c r="BP68" s="12" t="s">
        <v>155</v>
      </c>
      <c r="BT68" s="12" t="s">
        <v>340</v>
      </c>
      <c r="BV68" s="12" t="s">
        <v>157</v>
      </c>
      <c r="BY68" s="12" t="s">
        <v>155</v>
      </c>
      <c r="CA68" s="12" t="s">
        <v>158</v>
      </c>
      <c r="CD68" s="12">
        <v>120</v>
      </c>
      <c r="CE68" t="s">
        <v>148</v>
      </c>
      <c r="CH68" s="15" t="s">
        <v>339</v>
      </c>
      <c r="CU68" s="12" t="s">
        <v>159</v>
      </c>
      <c r="DC68" s="12" t="b">
        <v>1</v>
      </c>
      <c r="DD68" s="12" t="s">
        <v>219</v>
      </c>
      <c r="DG68" s="12" t="s">
        <v>341</v>
      </c>
      <c r="DL68" t="s">
        <v>162</v>
      </c>
      <c r="DV68">
        <f t="shared" si="51"/>
        <v>1</v>
      </c>
    </row>
    <row r="69" spans="1:131" hidden="1" x14ac:dyDescent="0.25">
      <c r="A69" t="s">
        <v>344</v>
      </c>
      <c r="B69" t="s">
        <v>130</v>
      </c>
      <c r="C69" t="s">
        <v>131</v>
      </c>
      <c r="D69" t="s">
        <v>309</v>
      </c>
      <c r="E69" t="s">
        <v>310</v>
      </c>
      <c r="F69" t="s">
        <v>345</v>
      </c>
      <c r="G69" t="s">
        <v>165</v>
      </c>
      <c r="H69" t="s">
        <v>166</v>
      </c>
      <c r="I69" t="s">
        <v>165</v>
      </c>
      <c r="L69" t="s">
        <v>346</v>
      </c>
      <c r="M69" t="s">
        <v>137</v>
      </c>
      <c r="N69" t="b">
        <v>0</v>
      </c>
      <c r="P69" s="12"/>
      <c r="Q69" s="12"/>
      <c r="R69" s="12">
        <v>300</v>
      </c>
      <c r="S69" t="s">
        <v>148</v>
      </c>
      <c r="T69" s="12" t="s">
        <v>168</v>
      </c>
      <c r="U69" s="12">
        <v>250</v>
      </c>
      <c r="V69" t="s">
        <v>148</v>
      </c>
      <c r="Z69" s="12">
        <v>50</v>
      </c>
      <c r="AA69" s="12" t="s">
        <v>169</v>
      </c>
      <c r="AB69" s="12">
        <v>120</v>
      </c>
      <c r="AC69" t="s">
        <v>148</v>
      </c>
      <c r="AD69" s="12" t="s">
        <v>313</v>
      </c>
      <c r="AE69" s="12" t="s">
        <v>144</v>
      </c>
      <c r="AF69" s="12" t="s">
        <v>263</v>
      </c>
      <c r="AG69" s="13" t="s">
        <v>172</v>
      </c>
      <c r="AH69" s="12" t="s">
        <v>173</v>
      </c>
      <c r="AI69" s="12" t="s">
        <v>145</v>
      </c>
      <c r="AJ69" s="12" t="s">
        <v>146</v>
      </c>
      <c r="AK69" s="12" t="s">
        <v>147</v>
      </c>
      <c r="AL69" s="12" t="s">
        <v>314</v>
      </c>
      <c r="AM69" s="12">
        <v>375</v>
      </c>
      <c r="AN69" t="s">
        <v>175</v>
      </c>
      <c r="AO69" s="12">
        <v>-923</v>
      </c>
      <c r="AP69" t="s">
        <v>186</v>
      </c>
      <c r="AQ69" s="12" t="b">
        <v>0</v>
      </c>
      <c r="AR69" s="14" t="s">
        <v>177</v>
      </c>
      <c r="AU69">
        <v>150</v>
      </c>
      <c r="AV69" t="s">
        <v>148</v>
      </c>
      <c r="BR69" s="12" t="s">
        <v>155</v>
      </c>
      <c r="BV69" s="12" t="s">
        <v>179</v>
      </c>
      <c r="CF69" s="12" t="s">
        <v>180</v>
      </c>
      <c r="CS69" s="12" t="s">
        <v>227</v>
      </c>
      <c r="DA69" s="12">
        <v>1</v>
      </c>
      <c r="DB69" s="12">
        <v>4</v>
      </c>
      <c r="DN69" s="12" t="b">
        <v>0</v>
      </c>
      <c r="DQ69">
        <f t="shared" ref="DQ69:DQ71" si="58">IF(T69="Tapered/Spherical",1,0)</f>
        <v>1</v>
      </c>
      <c r="DR69">
        <f t="shared" ref="DR69:DR71" si="59">IF(AE69="125°F (51.7°C) - 150°F (65.6°C)",1,0.5)</f>
        <v>1</v>
      </c>
      <c r="DS69">
        <v>0.5</v>
      </c>
      <c r="DT69">
        <v>0.2</v>
      </c>
      <c r="DU69">
        <v>1</v>
      </c>
      <c r="DV69">
        <v>1</v>
      </c>
      <c r="DW69">
        <v>0.6</v>
      </c>
      <c r="DX69">
        <f t="shared" ref="DX69:DX71" si="60">PRODUCT(DQ69:DV69)</f>
        <v>0.1</v>
      </c>
      <c r="DY69">
        <f t="shared" ref="DY69:DY71" si="61">+DX69*((14000000/(Z69*AB69^0.5))-4*AB69)</f>
        <v>2508.0386016907751</v>
      </c>
      <c r="DZ69">
        <f t="shared" ref="DZ69:DZ71" si="62">+DY69/8760</f>
        <v>0.28630577644871863</v>
      </c>
      <c r="EA69">
        <f t="shared" ref="EA69:EA71" si="63">ROUND(+DZ69*12,1)</f>
        <v>3.4</v>
      </c>
    </row>
    <row r="70" spans="1:131" hidden="1" x14ac:dyDescent="0.25">
      <c r="A70" t="s">
        <v>347</v>
      </c>
      <c r="B70" t="s">
        <v>130</v>
      </c>
      <c r="C70" t="s">
        <v>131</v>
      </c>
      <c r="D70" t="s">
        <v>309</v>
      </c>
      <c r="E70" t="s">
        <v>310</v>
      </c>
      <c r="F70" t="s">
        <v>348</v>
      </c>
      <c r="G70" t="s">
        <v>165</v>
      </c>
      <c r="H70" t="s">
        <v>166</v>
      </c>
      <c r="I70" t="s">
        <v>165</v>
      </c>
      <c r="L70" t="s">
        <v>346</v>
      </c>
      <c r="M70" t="s">
        <v>137</v>
      </c>
      <c r="N70" t="b">
        <v>0</v>
      </c>
      <c r="P70" s="12"/>
      <c r="Q70" s="12"/>
      <c r="R70" s="12">
        <v>300</v>
      </c>
      <c r="S70" t="s">
        <v>148</v>
      </c>
      <c r="T70" s="12" t="s">
        <v>168</v>
      </c>
      <c r="U70" s="12">
        <v>250</v>
      </c>
      <c r="V70" t="s">
        <v>148</v>
      </c>
      <c r="Z70" s="12">
        <v>50</v>
      </c>
      <c r="AA70" s="12" t="s">
        <v>169</v>
      </c>
      <c r="AB70" s="12">
        <v>120</v>
      </c>
      <c r="AC70" t="s">
        <v>148</v>
      </c>
      <c r="AD70" s="12" t="s">
        <v>313</v>
      </c>
      <c r="AE70" s="12" t="s">
        <v>144</v>
      </c>
      <c r="AF70" s="12" t="s">
        <v>263</v>
      </c>
      <c r="AG70" s="13" t="s">
        <v>172</v>
      </c>
      <c r="AH70" s="12" t="s">
        <v>173</v>
      </c>
      <c r="AI70" s="12" t="s">
        <v>145</v>
      </c>
      <c r="AJ70" s="12" t="s">
        <v>146</v>
      </c>
      <c r="AK70" s="12" t="s">
        <v>147</v>
      </c>
      <c r="AL70" s="12" t="s">
        <v>314</v>
      </c>
      <c r="AM70" s="12">
        <v>375</v>
      </c>
      <c r="AN70" t="s">
        <v>175</v>
      </c>
      <c r="AO70" s="12">
        <v>-923</v>
      </c>
      <c r="AQ70" s="12" t="b">
        <v>0</v>
      </c>
      <c r="AR70" s="14" t="s">
        <v>177</v>
      </c>
      <c r="AU70">
        <v>150</v>
      </c>
      <c r="AV70" t="s">
        <v>148</v>
      </c>
      <c r="BR70" s="12" t="s">
        <v>155</v>
      </c>
      <c r="BV70" s="12" t="s">
        <v>179</v>
      </c>
      <c r="CF70" s="12" t="s">
        <v>180</v>
      </c>
      <c r="CS70" s="12" t="s">
        <v>227</v>
      </c>
      <c r="DA70" s="12">
        <v>1</v>
      </c>
      <c r="DB70" s="12">
        <v>4</v>
      </c>
      <c r="DN70" s="12" t="b">
        <v>0</v>
      </c>
      <c r="DQ70">
        <f t="shared" si="58"/>
        <v>1</v>
      </c>
      <c r="DR70">
        <f t="shared" si="59"/>
        <v>1</v>
      </c>
      <c r="DS70">
        <v>0.5</v>
      </c>
      <c r="DT70">
        <v>0.2</v>
      </c>
      <c r="DU70">
        <v>1</v>
      </c>
      <c r="DV70">
        <v>1</v>
      </c>
      <c r="DW70">
        <v>0.6</v>
      </c>
      <c r="DX70">
        <f t="shared" si="60"/>
        <v>0.1</v>
      </c>
      <c r="DY70">
        <f t="shared" si="61"/>
        <v>2508.0386016907751</v>
      </c>
      <c r="DZ70">
        <f t="shared" si="62"/>
        <v>0.28630577644871863</v>
      </c>
      <c r="EA70">
        <f t="shared" si="63"/>
        <v>3.4</v>
      </c>
    </row>
    <row r="71" spans="1:131" hidden="1" x14ac:dyDescent="0.25">
      <c r="A71" t="s">
        <v>349</v>
      </c>
      <c r="B71" t="s">
        <v>130</v>
      </c>
      <c r="C71" t="s">
        <v>131</v>
      </c>
      <c r="D71" t="s">
        <v>309</v>
      </c>
      <c r="E71" t="s">
        <v>310</v>
      </c>
      <c r="F71" t="s">
        <v>350</v>
      </c>
      <c r="G71" t="s">
        <v>165</v>
      </c>
      <c r="H71" t="s">
        <v>166</v>
      </c>
      <c r="I71" t="s">
        <v>165</v>
      </c>
      <c r="L71" t="s">
        <v>346</v>
      </c>
      <c r="M71" t="s">
        <v>137</v>
      </c>
      <c r="N71" t="b">
        <v>0</v>
      </c>
      <c r="P71" s="12"/>
      <c r="Q71" s="12"/>
      <c r="R71" s="12">
        <v>300</v>
      </c>
      <c r="S71" t="s">
        <v>148</v>
      </c>
      <c r="T71" s="12" t="s">
        <v>168</v>
      </c>
      <c r="U71" s="12">
        <v>250</v>
      </c>
      <c r="V71" t="s">
        <v>148</v>
      </c>
      <c r="Z71" s="12">
        <v>50</v>
      </c>
      <c r="AA71" s="12" t="s">
        <v>169</v>
      </c>
      <c r="AB71" s="12">
        <v>120</v>
      </c>
      <c r="AC71" t="s">
        <v>148</v>
      </c>
      <c r="AD71" s="12" t="s">
        <v>313</v>
      </c>
      <c r="AE71" s="12" t="s">
        <v>144</v>
      </c>
      <c r="AF71" s="12" t="s">
        <v>263</v>
      </c>
      <c r="AG71" s="13" t="s">
        <v>172</v>
      </c>
      <c r="AH71" s="12" t="s">
        <v>173</v>
      </c>
      <c r="AI71" s="12" t="s">
        <v>145</v>
      </c>
      <c r="AJ71" s="12" t="s">
        <v>146</v>
      </c>
      <c r="AK71" s="12" t="s">
        <v>147</v>
      </c>
      <c r="AL71" s="12" t="s">
        <v>314</v>
      </c>
      <c r="AM71" s="12">
        <v>375</v>
      </c>
      <c r="AN71" t="s">
        <v>175</v>
      </c>
      <c r="AO71" s="12">
        <v>-923</v>
      </c>
      <c r="AP71" t="s">
        <v>186</v>
      </c>
      <c r="AQ71" s="12" t="b">
        <v>0</v>
      </c>
      <c r="AR71" s="14" t="s">
        <v>177</v>
      </c>
      <c r="AU71">
        <v>150</v>
      </c>
      <c r="AV71" t="s">
        <v>148</v>
      </c>
      <c r="BR71" s="12" t="s">
        <v>155</v>
      </c>
      <c r="BV71" s="12" t="s">
        <v>179</v>
      </c>
      <c r="CF71" s="12" t="s">
        <v>180</v>
      </c>
      <c r="CS71" s="12" t="s">
        <v>227</v>
      </c>
      <c r="DA71" s="12">
        <v>1</v>
      </c>
      <c r="DB71" s="12">
        <v>4</v>
      </c>
      <c r="DN71" s="12" t="b">
        <v>0</v>
      </c>
      <c r="DQ71">
        <f t="shared" si="58"/>
        <v>1</v>
      </c>
      <c r="DR71">
        <f t="shared" si="59"/>
        <v>1</v>
      </c>
      <c r="DS71">
        <v>0.5</v>
      </c>
      <c r="DT71">
        <v>0.2</v>
      </c>
      <c r="DU71">
        <v>1</v>
      </c>
      <c r="DV71">
        <v>1</v>
      </c>
      <c r="DW71">
        <v>0.6</v>
      </c>
      <c r="DX71">
        <f t="shared" si="60"/>
        <v>0.1</v>
      </c>
      <c r="DY71">
        <f t="shared" si="61"/>
        <v>2508.0386016907751</v>
      </c>
      <c r="DZ71">
        <f t="shared" si="62"/>
        <v>0.28630577644871863</v>
      </c>
      <c r="EA71">
        <f t="shared" si="63"/>
        <v>3.4</v>
      </c>
    </row>
    <row r="72" spans="1:131" hidden="1" x14ac:dyDescent="0.25">
      <c r="A72" t="s">
        <v>351</v>
      </c>
      <c r="B72" t="s">
        <v>130</v>
      </c>
      <c r="C72" t="s">
        <v>131</v>
      </c>
      <c r="D72" t="s">
        <v>309</v>
      </c>
      <c r="E72" t="s">
        <v>310</v>
      </c>
      <c r="F72" t="s">
        <v>352</v>
      </c>
      <c r="G72" t="s">
        <v>353</v>
      </c>
      <c r="H72" t="s">
        <v>354</v>
      </c>
      <c r="I72" t="s">
        <v>355</v>
      </c>
      <c r="M72" t="s">
        <v>137</v>
      </c>
      <c r="N72" t="b">
        <v>0</v>
      </c>
      <c r="AR72" s="12" t="str">
        <f>HYPERLINK("https://www.google.com/search?q=","")</f>
        <v/>
      </c>
      <c r="CC72" s="12"/>
      <c r="CI72" s="12"/>
      <c r="CJ72" s="12"/>
      <c r="CK72" s="12"/>
      <c r="CL72" s="12"/>
      <c r="CM72" s="12"/>
      <c r="CN72" t="s">
        <v>356</v>
      </c>
      <c r="CO72" s="12" t="s">
        <v>357</v>
      </c>
      <c r="DD72" s="12"/>
      <c r="DG72" s="12"/>
      <c r="DV72">
        <f t="shared" si="51"/>
        <v>0.5</v>
      </c>
    </row>
    <row r="73" spans="1:131" hidden="1" x14ac:dyDescent="0.25">
      <c r="A73" t="s">
        <v>358</v>
      </c>
      <c r="B73" t="s">
        <v>130</v>
      </c>
      <c r="C73" t="s">
        <v>131</v>
      </c>
      <c r="D73" t="s">
        <v>309</v>
      </c>
      <c r="E73" t="s">
        <v>310</v>
      </c>
      <c r="F73" t="s">
        <v>352</v>
      </c>
      <c r="G73" t="s">
        <v>353</v>
      </c>
      <c r="H73" t="s">
        <v>359</v>
      </c>
      <c r="I73" t="s">
        <v>360</v>
      </c>
      <c r="M73" t="s">
        <v>137</v>
      </c>
      <c r="N73" t="b">
        <v>0</v>
      </c>
      <c r="AE73" s="12" t="s">
        <v>144</v>
      </c>
      <c r="AI73" s="12" t="s">
        <v>145</v>
      </c>
      <c r="AJ73" s="12" t="s">
        <v>146</v>
      </c>
      <c r="AK73" s="12" t="s">
        <v>147</v>
      </c>
      <c r="AR73" s="12" t="str">
        <f>HYPERLINK("https://www.google.com/search?q=","")</f>
        <v/>
      </c>
      <c r="AS73" s="12">
        <v>600</v>
      </c>
      <c r="AT73" t="s">
        <v>148</v>
      </c>
      <c r="AU73">
        <v>600</v>
      </c>
      <c r="AV73" t="s">
        <v>148</v>
      </c>
      <c r="AW73">
        <v>500</v>
      </c>
      <c r="AX73" t="s">
        <v>148</v>
      </c>
      <c r="AY73" s="12">
        <v>150</v>
      </c>
      <c r="AZ73" t="s">
        <v>149</v>
      </c>
      <c r="BL73" s="12" t="s">
        <v>361</v>
      </c>
      <c r="BN73" s="12" t="s">
        <v>154</v>
      </c>
      <c r="BP73" s="12" t="s">
        <v>155</v>
      </c>
      <c r="BT73" s="12" t="s">
        <v>340</v>
      </c>
      <c r="BV73" s="12"/>
      <c r="BY73" s="12" t="s">
        <v>155</v>
      </c>
      <c r="CA73" s="12" t="s">
        <v>362</v>
      </c>
      <c r="CD73" s="12">
        <v>300</v>
      </c>
      <c r="CE73" t="s">
        <v>148</v>
      </c>
      <c r="CH73" s="12" t="s">
        <v>159</v>
      </c>
      <c r="CU73" s="12"/>
      <c r="DC73" s="12"/>
      <c r="DD73" s="12" t="s">
        <v>363</v>
      </c>
      <c r="DG73" s="12"/>
      <c r="DP73" s="12">
        <v>1</v>
      </c>
      <c r="DV73">
        <f t="shared" si="51"/>
        <v>1</v>
      </c>
    </row>
    <row r="74" spans="1:131" hidden="1" x14ac:dyDescent="0.25">
      <c r="A74" t="s">
        <v>364</v>
      </c>
      <c r="B74" t="s">
        <v>130</v>
      </c>
      <c r="C74" t="s">
        <v>131</v>
      </c>
      <c r="D74" t="s">
        <v>309</v>
      </c>
      <c r="E74" t="s">
        <v>310</v>
      </c>
      <c r="F74" t="s">
        <v>352</v>
      </c>
      <c r="G74" t="s">
        <v>353</v>
      </c>
      <c r="H74" t="s">
        <v>365</v>
      </c>
      <c r="I74" t="s">
        <v>366</v>
      </c>
      <c r="M74" t="s">
        <v>137</v>
      </c>
      <c r="N74" t="b">
        <v>0</v>
      </c>
      <c r="CA74" s="12"/>
      <c r="DV74">
        <f t="shared" si="51"/>
        <v>1</v>
      </c>
    </row>
    <row r="75" spans="1:131" hidden="1" x14ac:dyDescent="0.25">
      <c r="A75" t="s">
        <v>367</v>
      </c>
      <c r="B75" t="s">
        <v>130</v>
      </c>
      <c r="C75" t="s">
        <v>131</v>
      </c>
      <c r="D75" t="s">
        <v>309</v>
      </c>
      <c r="E75" t="s">
        <v>310</v>
      </c>
      <c r="F75" t="s">
        <v>164</v>
      </c>
      <c r="G75" t="s">
        <v>165</v>
      </c>
      <c r="H75" t="s">
        <v>166</v>
      </c>
      <c r="I75" t="s">
        <v>165</v>
      </c>
      <c r="M75" t="s">
        <v>137</v>
      </c>
      <c r="N75" t="b">
        <v>0</v>
      </c>
      <c r="P75" s="12" t="s">
        <v>167</v>
      </c>
      <c r="Q75" s="12" t="s">
        <v>167</v>
      </c>
      <c r="R75" s="12">
        <v>160</v>
      </c>
      <c r="S75" t="s">
        <v>148</v>
      </c>
      <c r="T75" s="12" t="s">
        <v>168</v>
      </c>
      <c r="U75" s="12">
        <v>60</v>
      </c>
      <c r="V75" t="s">
        <v>148</v>
      </c>
      <c r="Z75" s="12">
        <v>120</v>
      </c>
      <c r="AA75" s="12" t="s">
        <v>169</v>
      </c>
      <c r="AB75" s="12">
        <v>160</v>
      </c>
      <c r="AC75" t="s">
        <v>148</v>
      </c>
      <c r="AD75" s="12" t="s">
        <v>170</v>
      </c>
      <c r="AE75" s="12" t="s">
        <v>144</v>
      </c>
      <c r="AF75" s="12" t="s">
        <v>171</v>
      </c>
      <c r="AG75" s="13" t="s">
        <v>172</v>
      </c>
      <c r="AH75" s="12" t="s">
        <v>173</v>
      </c>
      <c r="AI75" s="12" t="s">
        <v>145</v>
      </c>
      <c r="AJ75" s="12" t="s">
        <v>146</v>
      </c>
      <c r="AK75" s="12" t="s">
        <v>147</v>
      </c>
      <c r="AL75" s="12" t="s">
        <v>174</v>
      </c>
      <c r="AM75" s="12">
        <v>48</v>
      </c>
      <c r="AN75" t="s">
        <v>175</v>
      </c>
      <c r="AO75" s="12">
        <v>-1412</v>
      </c>
      <c r="AP75" t="s">
        <v>186</v>
      </c>
      <c r="AQ75" s="12" t="b">
        <v>0</v>
      </c>
      <c r="AR75" s="14" t="s">
        <v>177</v>
      </c>
      <c r="BR75" s="12" t="s">
        <v>178</v>
      </c>
      <c r="BV75" s="12" t="s">
        <v>179</v>
      </c>
      <c r="CF75" s="12" t="s">
        <v>268</v>
      </c>
      <c r="CS75" s="12" t="s">
        <v>181</v>
      </c>
      <c r="DA75" s="12">
        <v>1</v>
      </c>
      <c r="DB75" s="12">
        <v>2</v>
      </c>
      <c r="DN75" s="12" t="b">
        <v>0</v>
      </c>
      <c r="DQ75">
        <f t="shared" ref="DQ75:DQ76" si="64">IF(T75="Tapered/Spherical",1,0)</f>
        <v>1</v>
      </c>
      <c r="DR75">
        <f t="shared" ref="DR75:DR76" si="65">IF(AE75="125°F (51.7°C) - 150°F (65.6°C)",1,0.5)</f>
        <v>1</v>
      </c>
      <c r="DS75" cm="1">
        <f t="array" ref="DS75">IF(AF75="&lt;0.2 ips",1,O.5)</f>
        <v>1</v>
      </c>
      <c r="DT75">
        <v>0.2</v>
      </c>
      <c r="DU75">
        <v>1</v>
      </c>
      <c r="DV75">
        <v>1</v>
      </c>
      <c r="DW75">
        <v>0.9</v>
      </c>
      <c r="DX75">
        <f t="shared" ref="DX75:DX76" si="66">PRODUCT(DQ75:DV75)</f>
        <v>0.2</v>
      </c>
      <c r="DY75">
        <f t="shared" ref="DY75:DY76" si="67">+DX75*((14000000/(Z75*AB75^0.5))-4*AB75)</f>
        <v>1716.6619684315547</v>
      </c>
      <c r="DZ75">
        <f t="shared" ref="DZ75:DZ76" si="68">+DY75/8760</f>
        <v>0.19596597813145603</v>
      </c>
      <c r="EA75">
        <f t="shared" ref="EA75:EA76" si="69">ROUND(+DZ75*12,1)</f>
        <v>2.4</v>
      </c>
    </row>
    <row r="76" spans="1:131" hidden="1" x14ac:dyDescent="0.25">
      <c r="A76" t="s">
        <v>368</v>
      </c>
      <c r="B76" t="s">
        <v>130</v>
      </c>
      <c r="C76" t="s">
        <v>131</v>
      </c>
      <c r="D76" t="s">
        <v>309</v>
      </c>
      <c r="E76" t="s">
        <v>310</v>
      </c>
      <c r="F76" t="s">
        <v>183</v>
      </c>
      <c r="G76" t="s">
        <v>165</v>
      </c>
      <c r="H76" t="s">
        <v>166</v>
      </c>
      <c r="I76" t="s">
        <v>165</v>
      </c>
      <c r="M76" t="s">
        <v>137</v>
      </c>
      <c r="N76" t="b">
        <v>0</v>
      </c>
      <c r="P76" s="12" t="s">
        <v>167</v>
      </c>
      <c r="Q76" s="12" t="s">
        <v>167</v>
      </c>
      <c r="R76" s="12">
        <v>160</v>
      </c>
      <c r="S76" t="s">
        <v>148</v>
      </c>
      <c r="T76" s="12" t="s">
        <v>168</v>
      </c>
      <c r="U76" s="12">
        <v>60</v>
      </c>
      <c r="V76" t="s">
        <v>148</v>
      </c>
      <c r="Z76" s="12">
        <v>120</v>
      </c>
      <c r="AA76" s="12" t="s">
        <v>169</v>
      </c>
      <c r="AB76" s="12">
        <v>160</v>
      </c>
      <c r="AC76" t="s">
        <v>148</v>
      </c>
      <c r="AD76" s="12" t="s">
        <v>170</v>
      </c>
      <c r="AE76" s="12" t="s">
        <v>144</v>
      </c>
      <c r="AF76" s="12" t="s">
        <v>171</v>
      </c>
      <c r="AG76" s="13" t="s">
        <v>172</v>
      </c>
      <c r="AH76" s="12" t="s">
        <v>173</v>
      </c>
      <c r="AI76" s="12" t="s">
        <v>145</v>
      </c>
      <c r="AJ76" s="12" t="s">
        <v>146</v>
      </c>
      <c r="AK76" s="12" t="s">
        <v>147</v>
      </c>
      <c r="AL76" s="12" t="s">
        <v>174</v>
      </c>
      <c r="AM76" s="12">
        <v>48</v>
      </c>
      <c r="AN76" t="s">
        <v>175</v>
      </c>
      <c r="AO76" s="12">
        <v>-1412</v>
      </c>
      <c r="AQ76" s="12" t="b">
        <v>0</v>
      </c>
      <c r="AR76" s="14" t="s">
        <v>177</v>
      </c>
      <c r="BR76" s="12"/>
      <c r="BV76" s="12" t="s">
        <v>179</v>
      </c>
      <c r="CF76" s="12" t="s">
        <v>180</v>
      </c>
      <c r="CS76" s="12" t="s">
        <v>227</v>
      </c>
      <c r="DA76" s="12">
        <v>1</v>
      </c>
      <c r="DB76" s="12">
        <v>2</v>
      </c>
      <c r="DN76" s="12" t="b">
        <v>0</v>
      </c>
      <c r="DQ76">
        <f t="shared" si="64"/>
        <v>1</v>
      </c>
      <c r="DR76">
        <f t="shared" si="65"/>
        <v>1</v>
      </c>
      <c r="DS76" cm="1">
        <f t="array" ref="DS76">IF(AF76="&lt;0.2 ips",1,O.5)</f>
        <v>1</v>
      </c>
      <c r="DT76">
        <v>0.2</v>
      </c>
      <c r="DU76">
        <v>1</v>
      </c>
      <c r="DV76">
        <v>1</v>
      </c>
      <c r="DW76">
        <v>0.9</v>
      </c>
      <c r="DX76">
        <f t="shared" si="66"/>
        <v>0.2</v>
      </c>
      <c r="DY76">
        <f t="shared" si="67"/>
        <v>1716.6619684315547</v>
      </c>
      <c r="DZ76">
        <f t="shared" si="68"/>
        <v>0.19596597813145603</v>
      </c>
      <c r="EA76">
        <f t="shared" si="69"/>
        <v>2.4</v>
      </c>
    </row>
    <row r="77" spans="1:131" hidden="1" x14ac:dyDescent="0.25">
      <c r="A77" t="s">
        <v>369</v>
      </c>
      <c r="B77" t="s">
        <v>130</v>
      </c>
      <c r="C77" t="s">
        <v>131</v>
      </c>
      <c r="D77" t="s">
        <v>370</v>
      </c>
      <c r="E77" t="s">
        <v>371</v>
      </c>
      <c r="F77" t="s">
        <v>372</v>
      </c>
      <c r="G77" t="s">
        <v>373</v>
      </c>
      <c r="H77" t="s">
        <v>374</v>
      </c>
      <c r="I77" t="s">
        <v>373</v>
      </c>
      <c r="M77" t="s">
        <v>137</v>
      </c>
      <c r="N77" t="b">
        <v>0</v>
      </c>
      <c r="AE77" s="12" t="s">
        <v>144</v>
      </c>
      <c r="AI77" s="12" t="s">
        <v>145</v>
      </c>
      <c r="AJ77" s="12" t="s">
        <v>146</v>
      </c>
      <c r="AK77" s="12" t="s">
        <v>147</v>
      </c>
      <c r="AO77" s="12">
        <v>1</v>
      </c>
      <c r="AP77" t="s">
        <v>321</v>
      </c>
      <c r="BV77" s="12" t="s">
        <v>179</v>
      </c>
      <c r="CW77" s="12" t="s">
        <v>322</v>
      </c>
      <c r="DB77" s="12">
        <v>1</v>
      </c>
      <c r="DV77">
        <f t="shared" ref="DV77:DV81" si="70">IF(AA79="Horizontal",1,0.5)</f>
        <v>1</v>
      </c>
    </row>
    <row r="78" spans="1:131" hidden="1" x14ac:dyDescent="0.25">
      <c r="A78" t="s">
        <v>375</v>
      </c>
      <c r="B78" t="s">
        <v>130</v>
      </c>
      <c r="C78" t="s">
        <v>131</v>
      </c>
      <c r="D78" t="s">
        <v>370</v>
      </c>
      <c r="E78" t="s">
        <v>371</v>
      </c>
      <c r="F78" t="s">
        <v>376</v>
      </c>
      <c r="G78" t="s">
        <v>377</v>
      </c>
      <c r="H78" t="s">
        <v>378</v>
      </c>
      <c r="I78" t="s">
        <v>377</v>
      </c>
      <c r="L78" t="s">
        <v>379</v>
      </c>
      <c r="M78" t="s">
        <v>137</v>
      </c>
      <c r="N78" t="b">
        <v>0</v>
      </c>
      <c r="P78" s="12"/>
      <c r="Q78" s="12"/>
      <c r="R78" s="12">
        <v>120</v>
      </c>
      <c r="S78" t="s">
        <v>148</v>
      </c>
      <c r="T78" t="s">
        <v>380</v>
      </c>
      <c r="U78" s="12">
        <v>120</v>
      </c>
      <c r="V78" t="s">
        <v>148</v>
      </c>
      <c r="Z78" s="12">
        <v>20</v>
      </c>
      <c r="AA78" s="12" t="s">
        <v>169</v>
      </c>
      <c r="AB78" s="12">
        <v>120</v>
      </c>
      <c r="AC78" t="s">
        <v>148</v>
      </c>
      <c r="AD78" s="12"/>
      <c r="AE78" s="12" t="s">
        <v>144</v>
      </c>
      <c r="AI78" s="12" t="s">
        <v>145</v>
      </c>
      <c r="AJ78" s="12" t="s">
        <v>146</v>
      </c>
      <c r="AK78" s="12" t="s">
        <v>147</v>
      </c>
      <c r="AM78" s="12">
        <v>150</v>
      </c>
      <c r="AN78" t="s">
        <v>175</v>
      </c>
      <c r="AO78" s="12">
        <v>1</v>
      </c>
      <c r="AP78" t="s">
        <v>321</v>
      </c>
      <c r="BR78" s="12" t="s">
        <v>155</v>
      </c>
      <c r="BV78" s="12" t="s">
        <v>179</v>
      </c>
      <c r="CS78" s="12" t="s">
        <v>181</v>
      </c>
      <c r="DA78" s="12">
        <v>1</v>
      </c>
      <c r="DB78" s="12">
        <v>2</v>
      </c>
      <c r="DN78" s="12" t="b">
        <v>0</v>
      </c>
      <c r="DQ78">
        <f t="shared" ref="DQ78:DQ80" si="71">IF(T78="Ball",10,0)</f>
        <v>0</v>
      </c>
      <c r="DR78" t="str">
        <f t="shared" ref="DR78:DR80" si="72">+T78</f>
        <v>Journal Bearing</v>
      </c>
      <c r="DV78">
        <f t="shared" si="70"/>
        <v>1</v>
      </c>
    </row>
    <row r="79" spans="1:131" hidden="1" x14ac:dyDescent="0.25">
      <c r="A79" t="s">
        <v>381</v>
      </c>
      <c r="B79" t="s">
        <v>130</v>
      </c>
      <c r="C79" t="s">
        <v>131</v>
      </c>
      <c r="D79" t="s">
        <v>370</v>
      </c>
      <c r="E79" t="s">
        <v>371</v>
      </c>
      <c r="F79" t="s">
        <v>376</v>
      </c>
      <c r="G79" t="s">
        <v>377</v>
      </c>
      <c r="H79" t="s">
        <v>382</v>
      </c>
      <c r="I79" t="s">
        <v>377</v>
      </c>
      <c r="L79" t="s">
        <v>379</v>
      </c>
      <c r="M79" t="s">
        <v>137</v>
      </c>
      <c r="N79" t="b">
        <v>0</v>
      </c>
      <c r="P79" s="12"/>
      <c r="Q79" s="12"/>
      <c r="R79" s="12">
        <v>120</v>
      </c>
      <c r="S79" t="s">
        <v>148</v>
      </c>
      <c r="T79" t="s">
        <v>380</v>
      </c>
      <c r="U79" s="12">
        <v>120</v>
      </c>
      <c r="V79" t="s">
        <v>148</v>
      </c>
      <c r="Z79" s="12">
        <v>20</v>
      </c>
      <c r="AA79" s="12" t="s">
        <v>169</v>
      </c>
      <c r="AB79" s="12">
        <v>120</v>
      </c>
      <c r="AC79" t="s">
        <v>148</v>
      </c>
      <c r="AD79" s="12"/>
      <c r="AE79" s="12" t="s">
        <v>144</v>
      </c>
      <c r="AI79" s="12" t="s">
        <v>145</v>
      </c>
      <c r="AJ79" s="12" t="s">
        <v>146</v>
      </c>
      <c r="AK79" s="12" t="s">
        <v>147</v>
      </c>
      <c r="AM79" s="12">
        <v>150</v>
      </c>
      <c r="AN79" t="s">
        <v>175</v>
      </c>
      <c r="AO79" s="12">
        <v>1</v>
      </c>
      <c r="AP79" t="s">
        <v>321</v>
      </c>
      <c r="BR79" s="12" t="s">
        <v>155</v>
      </c>
      <c r="BV79" s="12" t="s">
        <v>179</v>
      </c>
      <c r="CS79" s="12" t="s">
        <v>181</v>
      </c>
      <c r="DA79" s="12">
        <v>1</v>
      </c>
      <c r="DB79" s="12">
        <v>2</v>
      </c>
      <c r="DN79" s="12" t="b">
        <v>0</v>
      </c>
      <c r="DQ79">
        <f t="shared" si="71"/>
        <v>0</v>
      </c>
      <c r="DR79" t="str">
        <f t="shared" si="72"/>
        <v>Journal Bearing</v>
      </c>
      <c r="DV79">
        <f t="shared" si="70"/>
        <v>0.5</v>
      </c>
    </row>
    <row r="80" spans="1:131" hidden="1" x14ac:dyDescent="0.25">
      <c r="A80" t="s">
        <v>383</v>
      </c>
      <c r="B80" t="s">
        <v>130</v>
      </c>
      <c r="C80" t="s">
        <v>131</v>
      </c>
      <c r="D80" t="s">
        <v>370</v>
      </c>
      <c r="E80" t="s">
        <v>371</v>
      </c>
      <c r="F80" t="s">
        <v>384</v>
      </c>
      <c r="G80" t="s">
        <v>377</v>
      </c>
      <c r="H80" t="s">
        <v>385</v>
      </c>
      <c r="I80" t="s">
        <v>377</v>
      </c>
      <c r="M80" t="s">
        <v>137</v>
      </c>
      <c r="N80" t="b">
        <v>0</v>
      </c>
      <c r="P80" s="12"/>
      <c r="Q80" s="12"/>
      <c r="R80" s="12">
        <v>120</v>
      </c>
      <c r="S80" t="s">
        <v>148</v>
      </c>
      <c r="T80" t="s">
        <v>380</v>
      </c>
      <c r="U80" s="12">
        <v>120</v>
      </c>
      <c r="V80" t="s">
        <v>148</v>
      </c>
      <c r="Z80" s="12">
        <v>12</v>
      </c>
      <c r="AA80" s="12" t="s">
        <v>169</v>
      </c>
      <c r="AB80" s="12">
        <v>120</v>
      </c>
      <c r="AC80" t="s">
        <v>148</v>
      </c>
      <c r="AD80" s="12"/>
      <c r="AE80" s="12" t="s">
        <v>205</v>
      </c>
      <c r="AI80" s="12" t="s">
        <v>145</v>
      </c>
      <c r="AJ80" s="12" t="s">
        <v>146</v>
      </c>
      <c r="AK80" s="12" t="s">
        <v>147</v>
      </c>
      <c r="AM80" s="12">
        <v>150</v>
      </c>
      <c r="AN80" t="s">
        <v>175</v>
      </c>
      <c r="AO80" s="12">
        <v>1</v>
      </c>
      <c r="AP80" t="s">
        <v>321</v>
      </c>
      <c r="BR80" s="12" t="s">
        <v>386</v>
      </c>
      <c r="BV80" s="12" t="s">
        <v>179</v>
      </c>
      <c r="CS80" s="12" t="s">
        <v>387</v>
      </c>
      <c r="DA80" s="12">
        <v>2</v>
      </c>
      <c r="DB80" s="12">
        <v>2</v>
      </c>
      <c r="DN80" s="12" t="b">
        <v>0</v>
      </c>
      <c r="DQ80">
        <f t="shared" si="71"/>
        <v>0</v>
      </c>
      <c r="DR80" t="str">
        <f t="shared" si="72"/>
        <v>Journal Bearing</v>
      </c>
      <c r="DV80">
        <f t="shared" si="70"/>
        <v>1</v>
      </c>
    </row>
    <row r="81" spans="1:131" hidden="1" x14ac:dyDescent="0.25">
      <c r="A81" t="s">
        <v>388</v>
      </c>
      <c r="B81" t="s">
        <v>130</v>
      </c>
      <c r="C81" t="s">
        <v>131</v>
      </c>
      <c r="D81" t="s">
        <v>370</v>
      </c>
      <c r="E81" t="s">
        <v>371</v>
      </c>
      <c r="F81" t="s">
        <v>389</v>
      </c>
      <c r="G81" t="s">
        <v>390</v>
      </c>
      <c r="H81" t="s">
        <v>320</v>
      </c>
      <c r="I81" t="s">
        <v>319</v>
      </c>
      <c r="M81" t="s">
        <v>137</v>
      </c>
      <c r="N81" t="b">
        <v>0</v>
      </c>
      <c r="Z81" s="12">
        <v>4</v>
      </c>
      <c r="AI81" s="12" t="s">
        <v>145</v>
      </c>
      <c r="AJ81" s="12" t="s">
        <v>146</v>
      </c>
      <c r="AK81" s="12" t="s">
        <v>147</v>
      </c>
      <c r="AO81" s="12">
        <v>1</v>
      </c>
      <c r="AP81" t="s">
        <v>321</v>
      </c>
      <c r="BG81" s="12">
        <v>1000</v>
      </c>
      <c r="BV81" s="12"/>
      <c r="CW81" s="12" t="s">
        <v>322</v>
      </c>
      <c r="DB81" s="12">
        <v>1</v>
      </c>
      <c r="DV81">
        <f t="shared" si="70"/>
        <v>1</v>
      </c>
    </row>
    <row r="82" spans="1:131" hidden="1" x14ac:dyDescent="0.25">
      <c r="A82" t="s">
        <v>391</v>
      </c>
      <c r="B82" t="s">
        <v>130</v>
      </c>
      <c r="C82" t="s">
        <v>131</v>
      </c>
      <c r="D82" t="s">
        <v>370</v>
      </c>
      <c r="E82" t="s">
        <v>371</v>
      </c>
      <c r="F82" t="s">
        <v>392</v>
      </c>
      <c r="G82" t="s">
        <v>201</v>
      </c>
      <c r="H82" t="s">
        <v>202</v>
      </c>
      <c r="I82" t="s">
        <v>201</v>
      </c>
      <c r="L82" t="s">
        <v>393</v>
      </c>
      <c r="M82" t="s">
        <v>137</v>
      </c>
      <c r="N82" t="b">
        <v>0</v>
      </c>
      <c r="P82" s="12"/>
      <c r="Q82" s="12"/>
      <c r="T82" t="s">
        <v>203</v>
      </c>
      <c r="X82" s="12" t="s">
        <v>262</v>
      </c>
      <c r="Y82" s="12">
        <v>200</v>
      </c>
      <c r="Z82" s="12">
        <v>1500</v>
      </c>
      <c r="AA82" s="12" t="s">
        <v>169</v>
      </c>
      <c r="AB82">
        <v>90</v>
      </c>
      <c r="AC82" t="s">
        <v>148</v>
      </c>
      <c r="AE82" s="12" t="s">
        <v>144</v>
      </c>
      <c r="AF82" s="12" t="s">
        <v>171</v>
      </c>
      <c r="AI82" s="12" t="s">
        <v>145</v>
      </c>
      <c r="AJ82" s="12" t="s">
        <v>146</v>
      </c>
      <c r="AK82" s="12" t="s">
        <v>147</v>
      </c>
      <c r="AL82" s="12" t="s">
        <v>174</v>
      </c>
      <c r="AM82" s="12">
        <v>35</v>
      </c>
      <c r="AN82" t="s">
        <v>175</v>
      </c>
      <c r="AO82" s="12">
        <v>9</v>
      </c>
      <c r="AP82" t="s">
        <v>176</v>
      </c>
      <c r="AQ82" s="12" t="b">
        <v>1</v>
      </c>
      <c r="AR82" s="12" t="str">
        <f>HYPERLINK("https://www.google.com/search?q=Siemens","Siemens")</f>
        <v>Siemens</v>
      </c>
      <c r="BR82" s="12" t="s">
        <v>155</v>
      </c>
      <c r="BV82" s="12" t="s">
        <v>210</v>
      </c>
      <c r="CF82" s="12" t="s">
        <v>187</v>
      </c>
      <c r="CS82" s="12" t="s">
        <v>181</v>
      </c>
      <c r="DA82" s="12">
        <v>1</v>
      </c>
      <c r="DN82" s="12" t="b">
        <v>0</v>
      </c>
      <c r="DQ82">
        <f t="shared" ref="DQ82:DQ87" si="73">IF(T82="Ball",10,0)</f>
        <v>10</v>
      </c>
      <c r="DR82">
        <f t="shared" ref="DR82:DR87" si="74">IF(AE82="125°F (51.7°C) - 150°F (65.6°C)",1,0.5)</f>
        <v>1</v>
      </c>
      <c r="DS82" cm="1">
        <f t="array" ref="DS82">IF(AF82="&lt;0.2 ips",1,O.5)</f>
        <v>1</v>
      </c>
      <c r="DT82">
        <v>0.2</v>
      </c>
      <c r="DU82">
        <v>1</v>
      </c>
      <c r="DV82">
        <v>1</v>
      </c>
      <c r="DW82">
        <v>0.9</v>
      </c>
      <c r="DX82">
        <f t="shared" ref="DX82:DX87" si="75">PRODUCT(DQ82:DV82)</f>
        <v>2</v>
      </c>
      <c r="DY82">
        <f t="shared" ref="DY82:DY87" si="76">+DX82*((14000000/(Z82*AB82^0.5))-4*AB82)</f>
        <v>1247.6394329936581</v>
      </c>
      <c r="DZ82">
        <f t="shared" ref="DZ82:DZ87" si="77">+DY82/8760</f>
        <v>0.14242459280749523</v>
      </c>
      <c r="EA82">
        <f t="shared" ref="EA82:EA87" si="78">ROUND(+DZ82*12,1)</f>
        <v>1.7</v>
      </c>
    </row>
    <row r="83" spans="1:131" hidden="1" x14ac:dyDescent="0.25">
      <c r="A83" t="s">
        <v>394</v>
      </c>
      <c r="B83" t="s">
        <v>130</v>
      </c>
      <c r="C83" t="s">
        <v>131</v>
      </c>
      <c r="D83" t="s">
        <v>370</v>
      </c>
      <c r="E83" t="s">
        <v>371</v>
      </c>
      <c r="F83" t="s">
        <v>392</v>
      </c>
      <c r="G83" t="s">
        <v>201</v>
      </c>
      <c r="H83" t="s">
        <v>212</v>
      </c>
      <c r="I83" t="s">
        <v>201</v>
      </c>
      <c r="L83" t="s">
        <v>393</v>
      </c>
      <c r="M83" t="s">
        <v>137</v>
      </c>
      <c r="N83" t="b">
        <v>0</v>
      </c>
      <c r="P83" s="12"/>
      <c r="Q83" s="12"/>
      <c r="T83" t="s">
        <v>203</v>
      </c>
      <c r="X83" s="12" t="s">
        <v>262</v>
      </c>
      <c r="Y83" s="12">
        <v>200</v>
      </c>
      <c r="Z83" s="12">
        <v>1500</v>
      </c>
      <c r="AA83" s="12" t="s">
        <v>169</v>
      </c>
      <c r="AB83">
        <v>90</v>
      </c>
      <c r="AC83" t="s">
        <v>148</v>
      </c>
      <c r="AE83" s="12" t="s">
        <v>144</v>
      </c>
      <c r="AF83" s="12" t="s">
        <v>171</v>
      </c>
      <c r="AI83" s="12" t="s">
        <v>145</v>
      </c>
      <c r="AJ83" s="12" t="s">
        <v>146</v>
      </c>
      <c r="AK83" s="12" t="s">
        <v>147</v>
      </c>
      <c r="AL83" s="12" t="s">
        <v>174</v>
      </c>
      <c r="AM83" s="12">
        <v>35</v>
      </c>
      <c r="AN83" t="s">
        <v>175</v>
      </c>
      <c r="AO83" s="12">
        <v>9</v>
      </c>
      <c r="AP83" t="s">
        <v>176</v>
      </c>
      <c r="AQ83" s="12" t="b">
        <v>1</v>
      </c>
      <c r="AR83" s="12" t="str">
        <f>HYPERLINK("https://www.google.com/search?q=Siemens","Siemens")</f>
        <v>Siemens</v>
      </c>
      <c r="BR83" s="12" t="s">
        <v>155</v>
      </c>
      <c r="BV83" s="12" t="s">
        <v>210</v>
      </c>
      <c r="CF83" s="12" t="s">
        <v>187</v>
      </c>
      <c r="CS83" s="12" t="s">
        <v>181</v>
      </c>
      <c r="DA83" s="12">
        <v>1</v>
      </c>
      <c r="DN83" s="12" t="b">
        <v>0</v>
      </c>
      <c r="DQ83">
        <f t="shared" si="73"/>
        <v>10</v>
      </c>
      <c r="DR83">
        <f t="shared" si="74"/>
        <v>1</v>
      </c>
      <c r="DS83" cm="1">
        <f t="array" ref="DS83">IF(AF83="&lt;0.2 ips",1,O.5)</f>
        <v>1</v>
      </c>
      <c r="DT83">
        <v>0.2</v>
      </c>
      <c r="DU83">
        <v>1</v>
      </c>
      <c r="DV83">
        <v>1</v>
      </c>
      <c r="DW83">
        <v>0.9</v>
      </c>
      <c r="DX83">
        <f t="shared" si="75"/>
        <v>2</v>
      </c>
      <c r="DY83">
        <f t="shared" si="76"/>
        <v>1247.6394329936581</v>
      </c>
      <c r="DZ83">
        <f t="shared" si="77"/>
        <v>0.14242459280749523</v>
      </c>
      <c r="EA83">
        <f t="shared" si="78"/>
        <v>1.7</v>
      </c>
    </row>
    <row r="84" spans="1:131" hidden="1" x14ac:dyDescent="0.25">
      <c r="A84" t="s">
        <v>395</v>
      </c>
      <c r="B84" t="s">
        <v>130</v>
      </c>
      <c r="C84" t="s">
        <v>131</v>
      </c>
      <c r="D84" t="s">
        <v>370</v>
      </c>
      <c r="E84" t="s">
        <v>371</v>
      </c>
      <c r="F84" t="s">
        <v>396</v>
      </c>
      <c r="G84" t="s">
        <v>201</v>
      </c>
      <c r="H84" t="s">
        <v>202</v>
      </c>
      <c r="I84" t="s">
        <v>201</v>
      </c>
      <c r="L84" t="s">
        <v>397</v>
      </c>
      <c r="M84" t="s">
        <v>137</v>
      </c>
      <c r="N84" t="b">
        <v>0</v>
      </c>
      <c r="P84" s="12"/>
      <c r="Q84" s="12"/>
      <c r="T84" t="s">
        <v>203</v>
      </c>
      <c r="X84" s="12" t="s">
        <v>262</v>
      </c>
      <c r="Y84" s="12">
        <v>55</v>
      </c>
      <c r="Z84" s="12">
        <v>1500</v>
      </c>
      <c r="AA84" s="12" t="s">
        <v>169</v>
      </c>
      <c r="AB84">
        <v>90</v>
      </c>
      <c r="AC84" t="s">
        <v>148</v>
      </c>
      <c r="AE84" s="12" t="s">
        <v>144</v>
      </c>
      <c r="AF84" s="12" t="s">
        <v>171</v>
      </c>
      <c r="AI84" s="12" t="s">
        <v>145</v>
      </c>
      <c r="AJ84" s="12" t="s">
        <v>146</v>
      </c>
      <c r="AK84" s="12" t="s">
        <v>147</v>
      </c>
      <c r="AL84" s="12" t="s">
        <v>174</v>
      </c>
      <c r="AM84" s="12">
        <v>35</v>
      </c>
      <c r="AN84" t="s">
        <v>175</v>
      </c>
      <c r="AO84" s="12">
        <v>9</v>
      </c>
      <c r="AP84" t="s">
        <v>176</v>
      </c>
      <c r="AQ84" s="12" t="b">
        <v>1</v>
      </c>
      <c r="AR84" s="12" t="str">
        <f>HYPERLINK("https://www.google.com/search?q=","")</f>
        <v/>
      </c>
      <c r="BR84" s="12" t="s">
        <v>155</v>
      </c>
      <c r="BV84" s="12" t="s">
        <v>210</v>
      </c>
      <c r="CF84" s="12" t="s">
        <v>187</v>
      </c>
      <c r="CS84" s="12" t="s">
        <v>181</v>
      </c>
      <c r="DA84" s="12">
        <v>1</v>
      </c>
      <c r="DN84" s="12" t="b">
        <v>0</v>
      </c>
      <c r="DQ84">
        <f t="shared" si="73"/>
        <v>10</v>
      </c>
      <c r="DR84">
        <f t="shared" si="74"/>
        <v>1</v>
      </c>
      <c r="DS84" cm="1">
        <f t="array" ref="DS84">IF(AF84="&lt;0.2 ips",1,O.5)</f>
        <v>1</v>
      </c>
      <c r="DT84">
        <v>0.2</v>
      </c>
      <c r="DU84">
        <v>1</v>
      </c>
      <c r="DV84">
        <v>1</v>
      </c>
      <c r="DW84">
        <v>0.9</v>
      </c>
      <c r="DX84">
        <f t="shared" si="75"/>
        <v>2</v>
      </c>
      <c r="DY84">
        <f t="shared" si="76"/>
        <v>1247.6394329936581</v>
      </c>
      <c r="DZ84">
        <f t="shared" si="77"/>
        <v>0.14242459280749523</v>
      </c>
      <c r="EA84">
        <f t="shared" si="78"/>
        <v>1.7</v>
      </c>
    </row>
    <row r="85" spans="1:131" hidden="1" x14ac:dyDescent="0.25">
      <c r="A85" t="s">
        <v>398</v>
      </c>
      <c r="B85" t="s">
        <v>130</v>
      </c>
      <c r="C85" t="s">
        <v>131</v>
      </c>
      <c r="D85" t="s">
        <v>370</v>
      </c>
      <c r="E85" t="s">
        <v>371</v>
      </c>
      <c r="F85" t="s">
        <v>396</v>
      </c>
      <c r="G85" t="s">
        <v>201</v>
      </c>
      <c r="H85" t="s">
        <v>212</v>
      </c>
      <c r="I85" t="s">
        <v>201</v>
      </c>
      <c r="L85" t="s">
        <v>397</v>
      </c>
      <c r="M85" t="s">
        <v>137</v>
      </c>
      <c r="N85" t="b">
        <v>0</v>
      </c>
      <c r="P85" s="12"/>
      <c r="Q85" s="12"/>
      <c r="T85" t="s">
        <v>203</v>
      </c>
      <c r="X85" s="12" t="s">
        <v>262</v>
      </c>
      <c r="Y85" s="12">
        <v>55</v>
      </c>
      <c r="Z85" s="12">
        <v>1500</v>
      </c>
      <c r="AA85" s="12" t="s">
        <v>169</v>
      </c>
      <c r="AB85">
        <v>90</v>
      </c>
      <c r="AC85" t="s">
        <v>148</v>
      </c>
      <c r="AE85" s="12" t="s">
        <v>144</v>
      </c>
      <c r="AF85" s="12" t="s">
        <v>171</v>
      </c>
      <c r="AI85" s="12" t="s">
        <v>145</v>
      </c>
      <c r="AJ85" s="12" t="s">
        <v>146</v>
      </c>
      <c r="AK85" s="12" t="s">
        <v>147</v>
      </c>
      <c r="AL85" s="12" t="s">
        <v>174</v>
      </c>
      <c r="AM85" s="12">
        <v>35</v>
      </c>
      <c r="AN85" t="s">
        <v>175</v>
      </c>
      <c r="AO85" s="12">
        <v>9</v>
      </c>
      <c r="AP85" t="s">
        <v>176</v>
      </c>
      <c r="AQ85" s="12" t="b">
        <v>1</v>
      </c>
      <c r="AR85" s="12" t="str">
        <f>HYPERLINK("https://www.google.com/search?q=","")</f>
        <v/>
      </c>
      <c r="BR85" s="12" t="s">
        <v>155</v>
      </c>
      <c r="BV85" s="12" t="s">
        <v>210</v>
      </c>
      <c r="CF85" s="12" t="s">
        <v>187</v>
      </c>
      <c r="CS85" s="12" t="s">
        <v>181</v>
      </c>
      <c r="DA85" s="12">
        <v>1</v>
      </c>
      <c r="DN85" s="12" t="b">
        <v>0</v>
      </c>
      <c r="DQ85">
        <f t="shared" si="73"/>
        <v>10</v>
      </c>
      <c r="DR85">
        <f t="shared" si="74"/>
        <v>1</v>
      </c>
      <c r="DS85" cm="1">
        <f t="array" ref="DS85">IF(AF85="&lt;0.2 ips",1,O.5)</f>
        <v>1</v>
      </c>
      <c r="DT85">
        <v>0.2</v>
      </c>
      <c r="DU85">
        <v>1</v>
      </c>
      <c r="DV85">
        <v>1</v>
      </c>
      <c r="DW85">
        <v>0.9</v>
      </c>
      <c r="DX85">
        <f t="shared" si="75"/>
        <v>2</v>
      </c>
      <c r="DY85">
        <f t="shared" si="76"/>
        <v>1247.6394329936581</v>
      </c>
      <c r="DZ85">
        <f t="shared" si="77"/>
        <v>0.14242459280749523</v>
      </c>
      <c r="EA85">
        <f t="shared" si="78"/>
        <v>1.7</v>
      </c>
    </row>
    <row r="86" spans="1:131" hidden="1" x14ac:dyDescent="0.25">
      <c r="A86" t="s">
        <v>399</v>
      </c>
      <c r="B86" t="s">
        <v>130</v>
      </c>
      <c r="C86" t="s">
        <v>131</v>
      </c>
      <c r="D86" t="s">
        <v>370</v>
      </c>
      <c r="E86" t="s">
        <v>371</v>
      </c>
      <c r="F86" t="s">
        <v>400</v>
      </c>
      <c r="G86" t="s">
        <v>201</v>
      </c>
      <c r="H86" t="s">
        <v>202</v>
      </c>
      <c r="I86" t="s">
        <v>201</v>
      </c>
      <c r="M86" t="s">
        <v>137</v>
      </c>
      <c r="N86" t="b">
        <v>0</v>
      </c>
      <c r="P86" s="12"/>
      <c r="Q86" s="12"/>
      <c r="T86" t="s">
        <v>203</v>
      </c>
      <c r="X86" s="12" t="s">
        <v>262</v>
      </c>
      <c r="Y86" s="12">
        <v>22</v>
      </c>
      <c r="Z86" s="12">
        <v>1500</v>
      </c>
      <c r="AA86" s="12" t="s">
        <v>169</v>
      </c>
      <c r="AB86">
        <v>90</v>
      </c>
      <c r="AC86" t="s">
        <v>148</v>
      </c>
      <c r="AE86" s="12" t="s">
        <v>144</v>
      </c>
      <c r="AF86" s="12" t="s">
        <v>171</v>
      </c>
      <c r="AI86" s="12" t="s">
        <v>145</v>
      </c>
      <c r="AJ86" s="12" t="s">
        <v>146</v>
      </c>
      <c r="AK86" s="12" t="s">
        <v>147</v>
      </c>
      <c r="AL86" s="12" t="s">
        <v>174</v>
      </c>
      <c r="AM86" s="12">
        <v>35</v>
      </c>
      <c r="AN86" t="s">
        <v>175</v>
      </c>
      <c r="AO86" s="12">
        <v>9</v>
      </c>
      <c r="AP86" t="s">
        <v>176</v>
      </c>
      <c r="AQ86" s="12" t="b">
        <v>1</v>
      </c>
      <c r="AR86" s="12" t="str">
        <f>HYPERLINK("https://www.google.com/search?q=","")</f>
        <v/>
      </c>
      <c r="BR86" s="12" t="s">
        <v>155</v>
      </c>
      <c r="BV86" s="12" t="s">
        <v>210</v>
      </c>
      <c r="CF86" s="12" t="s">
        <v>187</v>
      </c>
      <c r="CS86" s="12" t="s">
        <v>181</v>
      </c>
      <c r="DA86" s="12">
        <v>1</v>
      </c>
      <c r="DN86" s="12" t="b">
        <v>0</v>
      </c>
      <c r="DQ86">
        <f t="shared" si="73"/>
        <v>10</v>
      </c>
      <c r="DR86">
        <f t="shared" si="74"/>
        <v>1</v>
      </c>
      <c r="DS86" cm="1">
        <f t="array" ref="DS86">IF(AF86="&lt;0.2 ips",1,O.5)</f>
        <v>1</v>
      </c>
      <c r="DT86">
        <v>0.2</v>
      </c>
      <c r="DU86">
        <v>1</v>
      </c>
      <c r="DV86">
        <v>1</v>
      </c>
      <c r="DW86">
        <v>0.9</v>
      </c>
      <c r="DX86">
        <f t="shared" si="75"/>
        <v>2</v>
      </c>
      <c r="DY86">
        <f t="shared" si="76"/>
        <v>1247.6394329936581</v>
      </c>
      <c r="DZ86">
        <f t="shared" si="77"/>
        <v>0.14242459280749523</v>
      </c>
      <c r="EA86">
        <f t="shared" si="78"/>
        <v>1.7</v>
      </c>
    </row>
    <row r="87" spans="1:131" hidden="1" x14ac:dyDescent="0.25">
      <c r="A87" t="s">
        <v>401</v>
      </c>
      <c r="B87" t="s">
        <v>130</v>
      </c>
      <c r="C87" t="s">
        <v>131</v>
      </c>
      <c r="D87" t="s">
        <v>370</v>
      </c>
      <c r="E87" t="s">
        <v>371</v>
      </c>
      <c r="F87" t="s">
        <v>400</v>
      </c>
      <c r="G87" t="s">
        <v>201</v>
      </c>
      <c r="H87" t="s">
        <v>212</v>
      </c>
      <c r="I87" t="s">
        <v>201</v>
      </c>
      <c r="M87" t="s">
        <v>137</v>
      </c>
      <c r="N87" t="b">
        <v>0</v>
      </c>
      <c r="P87" s="12"/>
      <c r="Q87" s="12"/>
      <c r="T87" t="s">
        <v>203</v>
      </c>
      <c r="X87" s="12" t="s">
        <v>262</v>
      </c>
      <c r="Y87" s="12">
        <v>22</v>
      </c>
      <c r="Z87" s="12">
        <v>1500</v>
      </c>
      <c r="AA87" s="12" t="s">
        <v>169</v>
      </c>
      <c r="AB87">
        <v>90</v>
      </c>
      <c r="AC87" t="s">
        <v>148</v>
      </c>
      <c r="AE87" s="12" t="s">
        <v>144</v>
      </c>
      <c r="AF87" s="12" t="s">
        <v>171</v>
      </c>
      <c r="AI87" s="12" t="s">
        <v>145</v>
      </c>
      <c r="AJ87" s="12" t="s">
        <v>146</v>
      </c>
      <c r="AK87" s="12" t="s">
        <v>147</v>
      </c>
      <c r="AL87" s="12" t="s">
        <v>174</v>
      </c>
      <c r="AM87" s="12">
        <v>35</v>
      </c>
      <c r="AN87" t="s">
        <v>175</v>
      </c>
      <c r="AO87" s="12">
        <v>9</v>
      </c>
      <c r="AP87" t="s">
        <v>176</v>
      </c>
      <c r="AQ87" s="12" t="b">
        <v>1</v>
      </c>
      <c r="AR87" s="12" t="str">
        <f>HYPERLINK("https://www.google.com/search?q=","")</f>
        <v/>
      </c>
      <c r="BR87" s="12" t="s">
        <v>155</v>
      </c>
      <c r="BV87" s="12" t="s">
        <v>210</v>
      </c>
      <c r="CF87" s="12" t="s">
        <v>187</v>
      </c>
      <c r="CS87" s="12" t="s">
        <v>181</v>
      </c>
      <c r="DA87" s="12">
        <v>1</v>
      </c>
      <c r="DN87" s="12" t="b">
        <v>0</v>
      </c>
      <c r="DQ87">
        <f t="shared" si="73"/>
        <v>10</v>
      </c>
      <c r="DR87">
        <f t="shared" si="74"/>
        <v>1</v>
      </c>
      <c r="DS87" cm="1">
        <f t="array" ref="DS87">IF(AF87="&lt;0.2 ips",1,O.5)</f>
        <v>1</v>
      </c>
      <c r="DT87">
        <v>0.2</v>
      </c>
      <c r="DU87">
        <v>1</v>
      </c>
      <c r="DV87">
        <v>1</v>
      </c>
      <c r="DW87">
        <v>0.9</v>
      </c>
      <c r="DX87">
        <f t="shared" si="75"/>
        <v>2</v>
      </c>
      <c r="DY87">
        <f t="shared" si="76"/>
        <v>1247.6394329936581</v>
      </c>
      <c r="DZ87">
        <f t="shared" si="77"/>
        <v>0.14242459280749523</v>
      </c>
      <c r="EA87">
        <f t="shared" si="78"/>
        <v>1.7</v>
      </c>
    </row>
    <row r="88" spans="1:131" hidden="1" x14ac:dyDescent="0.25">
      <c r="A88" t="s">
        <v>402</v>
      </c>
      <c r="B88" t="s">
        <v>130</v>
      </c>
      <c r="C88" t="s">
        <v>131</v>
      </c>
      <c r="D88" t="s">
        <v>370</v>
      </c>
      <c r="E88" t="s">
        <v>371</v>
      </c>
      <c r="F88" t="s">
        <v>403</v>
      </c>
      <c r="G88" t="s">
        <v>135</v>
      </c>
      <c r="H88" t="s">
        <v>166</v>
      </c>
      <c r="I88" t="s">
        <v>135</v>
      </c>
      <c r="M88" t="s">
        <v>137</v>
      </c>
      <c r="N88" t="b">
        <v>0</v>
      </c>
      <c r="Y88" s="12">
        <v>7.5</v>
      </c>
      <c r="Z88" s="12">
        <v>1500</v>
      </c>
      <c r="DB88" s="12">
        <v>1</v>
      </c>
      <c r="DV88">
        <f t="shared" ref="DV88:DV123" si="79">IF(AA90="Horizontal",1,0.5)</f>
        <v>0.5</v>
      </c>
    </row>
    <row r="89" spans="1:131" hidden="1" x14ac:dyDescent="0.25">
      <c r="A89" t="s">
        <v>404</v>
      </c>
      <c r="B89" t="s">
        <v>130</v>
      </c>
      <c r="C89" t="s">
        <v>131</v>
      </c>
      <c r="D89" t="s">
        <v>370</v>
      </c>
      <c r="E89" t="s">
        <v>371</v>
      </c>
      <c r="F89" t="s">
        <v>405</v>
      </c>
      <c r="G89" t="s">
        <v>135</v>
      </c>
      <c r="H89" t="s">
        <v>166</v>
      </c>
      <c r="I89" t="s">
        <v>135</v>
      </c>
      <c r="M89" t="s">
        <v>137</v>
      </c>
      <c r="N89" t="b">
        <v>0</v>
      </c>
      <c r="Y89" s="12">
        <v>7.5</v>
      </c>
      <c r="Z89" s="12">
        <v>1500</v>
      </c>
      <c r="DB89" s="12">
        <v>1</v>
      </c>
      <c r="DV89">
        <f t="shared" si="79"/>
        <v>0.5</v>
      </c>
    </row>
    <row r="90" spans="1:131" hidden="1" x14ac:dyDescent="0.25">
      <c r="A90" t="s">
        <v>406</v>
      </c>
      <c r="B90" t="s">
        <v>130</v>
      </c>
      <c r="C90" t="s">
        <v>131</v>
      </c>
      <c r="D90" t="s">
        <v>370</v>
      </c>
      <c r="E90" t="s">
        <v>371</v>
      </c>
      <c r="F90" t="s">
        <v>407</v>
      </c>
      <c r="G90" t="s">
        <v>140</v>
      </c>
      <c r="H90" t="s">
        <v>139</v>
      </c>
      <c r="I90" t="s">
        <v>142</v>
      </c>
      <c r="L90" t="s">
        <v>408</v>
      </c>
      <c r="M90" t="s">
        <v>137</v>
      </c>
      <c r="N90" t="b">
        <v>0</v>
      </c>
      <c r="Y90" s="12">
        <v>200</v>
      </c>
      <c r="AE90" s="12" t="s">
        <v>144</v>
      </c>
      <c r="AI90" s="12" t="s">
        <v>145</v>
      </c>
      <c r="AJ90" s="12" t="s">
        <v>146</v>
      </c>
      <c r="AK90" s="12" t="s">
        <v>147</v>
      </c>
      <c r="AR90" s="12" t="str">
        <f>HYPERLINK("https://www.google.com/search?q=Urbasa 2003 C Nº12","Urbasa 2003 C Nº12")</f>
        <v>Urbasa 2003 C Nº12</v>
      </c>
      <c r="AS90">
        <v>600</v>
      </c>
      <c r="AT90" t="s">
        <v>148</v>
      </c>
      <c r="AU90">
        <v>700</v>
      </c>
      <c r="AV90" t="s">
        <v>148</v>
      </c>
      <c r="AW90">
        <v>2400</v>
      </c>
      <c r="AX90" t="s">
        <v>148</v>
      </c>
      <c r="AY90" s="12">
        <v>230</v>
      </c>
      <c r="AZ90" t="s">
        <v>149</v>
      </c>
      <c r="BF90" s="12" t="s">
        <v>332</v>
      </c>
      <c r="BH90" s="12" t="s">
        <v>151</v>
      </c>
      <c r="BI90" s="12" t="s">
        <v>152</v>
      </c>
      <c r="BL90" s="12" t="s">
        <v>159</v>
      </c>
      <c r="BN90" s="12" t="s">
        <v>154</v>
      </c>
      <c r="BP90" s="12" t="s">
        <v>155</v>
      </c>
      <c r="BT90" s="12" t="s">
        <v>156</v>
      </c>
      <c r="BV90" s="12" t="s">
        <v>157</v>
      </c>
      <c r="BY90" s="12" t="s">
        <v>155</v>
      </c>
      <c r="CA90" s="12" t="s">
        <v>218</v>
      </c>
      <c r="CD90" s="12">
        <v>250</v>
      </c>
      <c r="CE90" t="s">
        <v>148</v>
      </c>
      <c r="CH90" s="12" t="s">
        <v>409</v>
      </c>
      <c r="CU90" s="12" t="s">
        <v>333</v>
      </c>
      <c r="DC90" s="12" t="b">
        <v>0</v>
      </c>
      <c r="DD90" s="12" t="s">
        <v>219</v>
      </c>
      <c r="DG90" s="12" t="s">
        <v>161</v>
      </c>
      <c r="DL90" t="s">
        <v>162</v>
      </c>
      <c r="DV90">
        <f t="shared" si="79"/>
        <v>0.5</v>
      </c>
    </row>
    <row r="91" spans="1:131" hidden="1" x14ac:dyDescent="0.25">
      <c r="A91" t="s">
        <v>410</v>
      </c>
      <c r="B91" t="s">
        <v>130</v>
      </c>
      <c r="C91" t="s">
        <v>131</v>
      </c>
      <c r="D91" t="s">
        <v>370</v>
      </c>
      <c r="E91" t="s">
        <v>371</v>
      </c>
      <c r="F91" t="s">
        <v>411</v>
      </c>
      <c r="G91" t="s">
        <v>140</v>
      </c>
      <c r="H91" t="s">
        <v>139</v>
      </c>
      <c r="I91" t="s">
        <v>142</v>
      </c>
      <c r="L91" t="s">
        <v>408</v>
      </c>
      <c r="M91" t="s">
        <v>137</v>
      </c>
      <c r="N91" t="b">
        <v>0</v>
      </c>
      <c r="Y91" s="12">
        <v>55</v>
      </c>
      <c r="AE91" s="12" t="s">
        <v>144</v>
      </c>
      <c r="AI91" s="12" t="s">
        <v>145</v>
      </c>
      <c r="AJ91" s="12" t="s">
        <v>146</v>
      </c>
      <c r="AK91" s="12" t="s">
        <v>147</v>
      </c>
      <c r="AR91" s="12" t="str">
        <f>HYPERLINK("https://www.google.com/search?q=Urbasa B-2003","Urbasa B-2003")</f>
        <v>Urbasa B-2003</v>
      </c>
      <c r="AS91">
        <v>400</v>
      </c>
      <c r="AT91" t="s">
        <v>148</v>
      </c>
      <c r="AU91">
        <v>300</v>
      </c>
      <c r="AV91" t="s">
        <v>148</v>
      </c>
      <c r="AW91">
        <v>1200</v>
      </c>
      <c r="AX91" t="s">
        <v>148</v>
      </c>
      <c r="AY91" s="12">
        <v>50</v>
      </c>
      <c r="AZ91" t="s">
        <v>149</v>
      </c>
      <c r="BF91" s="12" t="s">
        <v>332</v>
      </c>
      <c r="BH91" s="12" t="s">
        <v>151</v>
      </c>
      <c r="BI91" s="12" t="s">
        <v>152</v>
      </c>
      <c r="BL91" s="12" t="s">
        <v>159</v>
      </c>
      <c r="BN91" s="12" t="s">
        <v>154</v>
      </c>
      <c r="BP91" s="12" t="s">
        <v>155</v>
      </c>
      <c r="BT91" s="12" t="s">
        <v>156</v>
      </c>
      <c r="BV91" s="12" t="s">
        <v>157</v>
      </c>
      <c r="BY91" s="12" t="s">
        <v>155</v>
      </c>
      <c r="CA91" s="12" t="s">
        <v>218</v>
      </c>
      <c r="CD91" s="12">
        <v>250</v>
      </c>
      <c r="CE91" t="s">
        <v>148</v>
      </c>
      <c r="CH91" s="12" t="s">
        <v>412</v>
      </c>
      <c r="CU91" s="12" t="s">
        <v>333</v>
      </c>
      <c r="DC91" s="12" t="b">
        <v>0</v>
      </c>
      <c r="DD91" s="12" t="s">
        <v>219</v>
      </c>
      <c r="DG91" s="12" t="s">
        <v>161</v>
      </c>
      <c r="DL91" t="s">
        <v>162</v>
      </c>
      <c r="DV91">
        <f t="shared" si="79"/>
        <v>0.5</v>
      </c>
    </row>
    <row r="92" spans="1:131" hidden="1" x14ac:dyDescent="0.25">
      <c r="A92" t="s">
        <v>413</v>
      </c>
      <c r="B92" t="s">
        <v>130</v>
      </c>
      <c r="C92" t="s">
        <v>131</v>
      </c>
      <c r="D92" t="s">
        <v>370</v>
      </c>
      <c r="E92" t="s">
        <v>371</v>
      </c>
      <c r="F92" t="s">
        <v>414</v>
      </c>
      <c r="G92" t="s">
        <v>140</v>
      </c>
      <c r="H92" t="s">
        <v>139</v>
      </c>
      <c r="I92" t="s">
        <v>142</v>
      </c>
      <c r="L92" t="s">
        <v>408</v>
      </c>
      <c r="M92" t="s">
        <v>137</v>
      </c>
      <c r="N92" t="b">
        <v>0</v>
      </c>
      <c r="Y92" s="12">
        <v>22</v>
      </c>
      <c r="AE92" s="12" t="s">
        <v>144</v>
      </c>
      <c r="AI92" s="12" t="s">
        <v>145</v>
      </c>
      <c r="AJ92" s="12" t="s">
        <v>146</v>
      </c>
      <c r="AK92" s="12" t="s">
        <v>147</v>
      </c>
      <c r="AR92" s="12" t="str">
        <f>HYPERLINK("https://www.google.com/search?q=Urbasa 20036","Urbasa 20036")</f>
        <v>Urbasa 20036</v>
      </c>
      <c r="AS92">
        <v>400</v>
      </c>
      <c r="AT92" t="s">
        <v>148</v>
      </c>
      <c r="AU92">
        <v>300</v>
      </c>
      <c r="AV92" t="s">
        <v>148</v>
      </c>
      <c r="AW92">
        <v>1200</v>
      </c>
      <c r="AX92" t="s">
        <v>148</v>
      </c>
      <c r="AY92" s="12">
        <v>28</v>
      </c>
      <c r="AZ92" t="s">
        <v>149</v>
      </c>
      <c r="BF92" s="12" t="s">
        <v>332</v>
      </c>
      <c r="BH92" s="12" t="s">
        <v>151</v>
      </c>
      <c r="BI92" s="12" t="s">
        <v>152</v>
      </c>
      <c r="BL92" s="12" t="s">
        <v>159</v>
      </c>
      <c r="BN92" s="12" t="s">
        <v>154</v>
      </c>
      <c r="BP92" s="12" t="s">
        <v>155</v>
      </c>
      <c r="BT92" s="12" t="s">
        <v>156</v>
      </c>
      <c r="BV92" s="12" t="s">
        <v>157</v>
      </c>
      <c r="BY92" s="12" t="s">
        <v>155</v>
      </c>
      <c r="CA92" s="12" t="s">
        <v>218</v>
      </c>
      <c r="CD92" s="12">
        <v>250</v>
      </c>
      <c r="CE92" t="s">
        <v>148</v>
      </c>
      <c r="CH92" s="12" t="s">
        <v>412</v>
      </c>
      <c r="CU92" s="12" t="s">
        <v>333</v>
      </c>
      <c r="DC92" s="12" t="b">
        <v>0</v>
      </c>
      <c r="DD92" s="12" t="s">
        <v>219</v>
      </c>
      <c r="DG92" s="12" t="s">
        <v>161</v>
      </c>
      <c r="DL92" t="s">
        <v>162</v>
      </c>
      <c r="DV92">
        <f t="shared" si="79"/>
        <v>0.5</v>
      </c>
    </row>
    <row r="93" spans="1:131" hidden="1" x14ac:dyDescent="0.25">
      <c r="A93" t="s">
        <v>415</v>
      </c>
      <c r="B93" t="s">
        <v>130</v>
      </c>
      <c r="C93" t="s">
        <v>131</v>
      </c>
      <c r="D93" t="s">
        <v>370</v>
      </c>
      <c r="E93" t="s">
        <v>371</v>
      </c>
      <c r="F93" t="s">
        <v>416</v>
      </c>
      <c r="G93" t="s">
        <v>140</v>
      </c>
      <c r="H93" t="s">
        <v>141</v>
      </c>
      <c r="I93" t="s">
        <v>142</v>
      </c>
      <c r="L93" t="s">
        <v>408</v>
      </c>
      <c r="M93" t="s">
        <v>137</v>
      </c>
      <c r="N93" t="b">
        <v>0</v>
      </c>
      <c r="Y93" s="12">
        <v>7.5</v>
      </c>
      <c r="AE93" s="12" t="s">
        <v>144</v>
      </c>
      <c r="AI93" s="12" t="s">
        <v>145</v>
      </c>
      <c r="AJ93" s="12" t="s">
        <v>146</v>
      </c>
      <c r="AK93" s="12" t="s">
        <v>147</v>
      </c>
      <c r="AR93" s="12" t="str">
        <f>HYPERLINK("https://www.google.com/search?q=Urbasa DC 1007","Urbasa DC 1007")</f>
        <v>Urbasa DC 1007</v>
      </c>
      <c r="AS93">
        <v>600</v>
      </c>
      <c r="AT93" t="s">
        <v>148</v>
      </c>
      <c r="AU93">
        <v>400</v>
      </c>
      <c r="AV93" t="s">
        <v>148</v>
      </c>
      <c r="AW93">
        <v>1400</v>
      </c>
      <c r="AX93" t="s">
        <v>148</v>
      </c>
      <c r="AY93" s="12">
        <v>56</v>
      </c>
      <c r="AZ93" t="s">
        <v>149</v>
      </c>
      <c r="BF93" s="12" t="s">
        <v>332</v>
      </c>
      <c r="BH93" s="12" t="s">
        <v>151</v>
      </c>
      <c r="BI93" s="12" t="s">
        <v>152</v>
      </c>
      <c r="BL93" s="12" t="s">
        <v>159</v>
      </c>
      <c r="BN93" s="12" t="s">
        <v>154</v>
      </c>
      <c r="BP93" s="12" t="s">
        <v>155</v>
      </c>
      <c r="BT93" s="12" t="s">
        <v>156</v>
      </c>
      <c r="BV93" s="12" t="s">
        <v>157</v>
      </c>
      <c r="BY93" s="12" t="s">
        <v>155</v>
      </c>
      <c r="CA93" s="12" t="s">
        <v>218</v>
      </c>
      <c r="CD93" s="12">
        <v>250</v>
      </c>
      <c r="CE93" t="s">
        <v>148</v>
      </c>
      <c r="CH93" s="12" t="s">
        <v>159</v>
      </c>
      <c r="CU93" s="12" t="s">
        <v>333</v>
      </c>
      <c r="DC93" s="12" t="b">
        <v>0</v>
      </c>
      <c r="DD93" s="12" t="s">
        <v>219</v>
      </c>
      <c r="DG93" s="12" t="s">
        <v>334</v>
      </c>
      <c r="DL93" t="s">
        <v>162</v>
      </c>
      <c r="DV93">
        <f t="shared" si="79"/>
        <v>1</v>
      </c>
    </row>
    <row r="94" spans="1:131" hidden="1" x14ac:dyDescent="0.25">
      <c r="A94" t="s">
        <v>417</v>
      </c>
      <c r="B94" t="s">
        <v>130</v>
      </c>
      <c r="C94" t="s">
        <v>131</v>
      </c>
      <c r="D94" t="s">
        <v>370</v>
      </c>
      <c r="E94" t="s">
        <v>371</v>
      </c>
      <c r="F94" t="s">
        <v>418</v>
      </c>
      <c r="G94" t="s">
        <v>140</v>
      </c>
      <c r="H94" t="s">
        <v>141</v>
      </c>
      <c r="I94" t="s">
        <v>142</v>
      </c>
      <c r="L94" t="s">
        <v>408</v>
      </c>
      <c r="M94" t="s">
        <v>137</v>
      </c>
      <c r="N94" t="b">
        <v>0</v>
      </c>
      <c r="Y94" s="12">
        <v>7.5</v>
      </c>
      <c r="AE94" s="12" t="s">
        <v>144</v>
      </c>
      <c r="AI94" s="12" t="s">
        <v>145</v>
      </c>
      <c r="AJ94" s="12" t="s">
        <v>146</v>
      </c>
      <c r="AK94" s="12" t="s">
        <v>147</v>
      </c>
      <c r="AR94" s="12" t="str">
        <f>HYPERLINK("https://www.google.com/search?q=Urbasa DC 1007","Urbasa DC 1007")</f>
        <v>Urbasa DC 1007</v>
      </c>
      <c r="AS94">
        <v>600</v>
      </c>
      <c r="AT94" t="s">
        <v>148</v>
      </c>
      <c r="AU94">
        <v>400</v>
      </c>
      <c r="AV94" t="s">
        <v>148</v>
      </c>
      <c r="AW94">
        <v>1400</v>
      </c>
      <c r="AX94" t="s">
        <v>148</v>
      </c>
      <c r="AY94" s="12">
        <v>56</v>
      </c>
      <c r="AZ94" t="s">
        <v>149</v>
      </c>
      <c r="BF94" s="12" t="s">
        <v>332</v>
      </c>
      <c r="BH94" s="12" t="s">
        <v>151</v>
      </c>
      <c r="BI94" s="12" t="s">
        <v>152</v>
      </c>
      <c r="BL94" s="12" t="s">
        <v>159</v>
      </c>
      <c r="BN94" s="12" t="s">
        <v>154</v>
      </c>
      <c r="BP94" s="12" t="s">
        <v>155</v>
      </c>
      <c r="BT94" s="12" t="s">
        <v>156</v>
      </c>
      <c r="BV94" s="12" t="s">
        <v>157</v>
      </c>
      <c r="BY94" s="12" t="s">
        <v>155</v>
      </c>
      <c r="CA94" s="12" t="s">
        <v>218</v>
      </c>
      <c r="CD94" s="12">
        <v>250</v>
      </c>
      <c r="CE94" t="s">
        <v>148</v>
      </c>
      <c r="CH94" s="12" t="s">
        <v>159</v>
      </c>
      <c r="CU94" s="12" t="s">
        <v>333</v>
      </c>
      <c r="DC94" s="12" t="b">
        <v>0</v>
      </c>
      <c r="DD94" s="12" t="s">
        <v>219</v>
      </c>
      <c r="DG94" s="12" t="s">
        <v>334</v>
      </c>
      <c r="DL94" t="s">
        <v>162</v>
      </c>
      <c r="DV94">
        <f t="shared" si="79"/>
        <v>1</v>
      </c>
    </row>
    <row r="95" spans="1:131" hidden="1" x14ac:dyDescent="0.25">
      <c r="A95" t="s">
        <v>419</v>
      </c>
      <c r="B95" t="s">
        <v>130</v>
      </c>
      <c r="C95" t="s">
        <v>131</v>
      </c>
      <c r="D95" t="s">
        <v>370</v>
      </c>
      <c r="E95" t="s">
        <v>371</v>
      </c>
      <c r="F95" t="s">
        <v>420</v>
      </c>
      <c r="G95" t="s">
        <v>165</v>
      </c>
      <c r="H95" t="s">
        <v>166</v>
      </c>
      <c r="I95" t="s">
        <v>165</v>
      </c>
      <c r="M95" t="s">
        <v>137</v>
      </c>
      <c r="N95" t="b">
        <v>0</v>
      </c>
      <c r="P95" s="12"/>
      <c r="Q95" s="12"/>
      <c r="R95" s="12"/>
      <c r="S95" t="s">
        <v>225</v>
      </c>
      <c r="T95" s="12" t="s">
        <v>168</v>
      </c>
      <c r="U95" s="12"/>
      <c r="V95" t="s">
        <v>225</v>
      </c>
      <c r="Z95" s="12">
        <v>4</v>
      </c>
      <c r="AA95" s="12" t="s">
        <v>169</v>
      </c>
      <c r="AB95" s="12"/>
      <c r="AC95" t="s">
        <v>225</v>
      </c>
      <c r="AD95" s="12"/>
      <c r="AE95" s="12" t="s">
        <v>144</v>
      </c>
      <c r="AF95" s="12" t="s">
        <v>171</v>
      </c>
      <c r="AG95" s="13" t="s">
        <v>172</v>
      </c>
      <c r="AH95" s="12" t="s">
        <v>173</v>
      </c>
      <c r="AI95" s="12" t="s">
        <v>145</v>
      </c>
      <c r="AJ95" s="12" t="s">
        <v>146</v>
      </c>
      <c r="AK95" s="12" t="s">
        <v>147</v>
      </c>
      <c r="AL95" s="12" t="s">
        <v>314</v>
      </c>
      <c r="AM95" s="12"/>
      <c r="AO95" s="12">
        <v>0</v>
      </c>
      <c r="AQ95" s="12" t="b">
        <v>0</v>
      </c>
      <c r="BR95" s="12" t="s">
        <v>155</v>
      </c>
      <c r="BV95" s="12" t="s">
        <v>179</v>
      </c>
      <c r="CF95" s="12" t="s">
        <v>187</v>
      </c>
      <c r="CS95" s="12" t="s">
        <v>181</v>
      </c>
      <c r="DA95" s="12">
        <v>1</v>
      </c>
      <c r="DB95" s="12">
        <v>2</v>
      </c>
      <c r="DF95" t="s">
        <v>421</v>
      </c>
      <c r="DN95" s="12" t="b">
        <v>0</v>
      </c>
      <c r="DV95">
        <f t="shared" si="79"/>
        <v>1</v>
      </c>
    </row>
    <row r="96" spans="1:131" ht="135" hidden="1" x14ac:dyDescent="0.25">
      <c r="A96" t="s">
        <v>422</v>
      </c>
      <c r="B96" t="s">
        <v>130</v>
      </c>
      <c r="C96" t="s">
        <v>131</v>
      </c>
      <c r="D96" t="s">
        <v>370</v>
      </c>
      <c r="E96" t="s">
        <v>371</v>
      </c>
      <c r="F96" t="s">
        <v>423</v>
      </c>
      <c r="G96" t="s">
        <v>165</v>
      </c>
      <c r="H96" t="s">
        <v>424</v>
      </c>
      <c r="I96" t="s">
        <v>165</v>
      </c>
      <c r="L96" s="11" t="s">
        <v>425</v>
      </c>
      <c r="M96" t="s">
        <v>137</v>
      </c>
      <c r="N96" t="b">
        <v>0</v>
      </c>
      <c r="P96" s="12"/>
      <c r="Q96" s="12"/>
      <c r="R96" s="12">
        <v>300</v>
      </c>
      <c r="S96" t="s">
        <v>148</v>
      </c>
      <c r="T96" s="12" t="s">
        <v>168</v>
      </c>
      <c r="U96" s="12">
        <v>250</v>
      </c>
      <c r="V96" t="s">
        <v>148</v>
      </c>
      <c r="Z96" s="12">
        <v>4</v>
      </c>
      <c r="AA96" s="12" t="s">
        <v>169</v>
      </c>
      <c r="AB96" s="12">
        <v>120</v>
      </c>
      <c r="AC96" t="s">
        <v>148</v>
      </c>
      <c r="AD96" s="12" t="s">
        <v>313</v>
      </c>
      <c r="AE96" s="12" t="s">
        <v>144</v>
      </c>
      <c r="AF96" s="12" t="s">
        <v>263</v>
      </c>
      <c r="AG96" s="13" t="s">
        <v>172</v>
      </c>
      <c r="AH96" s="12" t="s">
        <v>173</v>
      </c>
      <c r="AI96" s="12" t="s">
        <v>145</v>
      </c>
      <c r="AJ96" s="12" t="s">
        <v>146</v>
      </c>
      <c r="AK96" s="12" t="s">
        <v>147</v>
      </c>
      <c r="AL96" s="12" t="s">
        <v>314</v>
      </c>
      <c r="AM96" s="12">
        <v>375</v>
      </c>
      <c r="AN96" t="s">
        <v>175</v>
      </c>
      <c r="AO96" s="12">
        <v>0</v>
      </c>
      <c r="AP96" t="s">
        <v>186</v>
      </c>
      <c r="AQ96" s="12" t="b">
        <v>0</v>
      </c>
      <c r="BR96" s="12" t="s">
        <v>155</v>
      </c>
      <c r="BV96" s="12" t="s">
        <v>179</v>
      </c>
      <c r="CF96" s="12" t="s">
        <v>426</v>
      </c>
      <c r="CS96" s="12" t="s">
        <v>227</v>
      </c>
      <c r="DA96" s="12">
        <v>1</v>
      </c>
      <c r="DB96" s="12">
        <v>2</v>
      </c>
      <c r="DF96" t="s">
        <v>421</v>
      </c>
      <c r="DN96" s="12" t="b">
        <v>0</v>
      </c>
      <c r="DQ96">
        <f t="shared" ref="DQ96:DQ100" si="80">IF(T96="Tapered/Spherical",1,0)</f>
        <v>1</v>
      </c>
      <c r="DR96">
        <f t="shared" ref="DR96:DR100" si="81">IF(AE96="125°F (51.7°C) - 150°F (65.6°C)",1,0.5)</f>
        <v>1</v>
      </c>
      <c r="DS96">
        <v>0.5</v>
      </c>
      <c r="DT96">
        <v>0.2</v>
      </c>
      <c r="DU96">
        <v>1</v>
      </c>
      <c r="DV96">
        <v>1</v>
      </c>
      <c r="DW96">
        <v>0.6</v>
      </c>
      <c r="DX96">
        <f t="shared" ref="DX96:DX100" si="82">PRODUCT(DQ96:DV96)</f>
        <v>0.1</v>
      </c>
      <c r="DY96">
        <f t="shared" ref="DY96:DY100" si="83">+DX96*((14000000/(Z96*AB96^0.5))-4*AB96)</f>
        <v>31902.482521134691</v>
      </c>
      <c r="DZ96">
        <f t="shared" ref="DZ96:DZ100" si="84">+DY96/8760</f>
        <v>3.64183590423912</v>
      </c>
      <c r="EA96">
        <f t="shared" ref="EA96:EA100" si="85">ROUND(+DZ96*12,1)</f>
        <v>43.7</v>
      </c>
    </row>
    <row r="97" spans="1:131" ht="135" hidden="1" x14ac:dyDescent="0.25">
      <c r="A97" t="s">
        <v>427</v>
      </c>
      <c r="B97" t="s">
        <v>130</v>
      </c>
      <c r="C97" t="s">
        <v>131</v>
      </c>
      <c r="D97" t="s">
        <v>370</v>
      </c>
      <c r="E97" t="s">
        <v>371</v>
      </c>
      <c r="F97" t="s">
        <v>423</v>
      </c>
      <c r="G97" t="s">
        <v>165</v>
      </c>
      <c r="H97" t="s">
        <v>424</v>
      </c>
      <c r="I97" t="s">
        <v>165</v>
      </c>
      <c r="L97" s="11" t="s">
        <v>425</v>
      </c>
      <c r="M97" t="s">
        <v>137</v>
      </c>
      <c r="N97" t="b">
        <v>0</v>
      </c>
      <c r="P97" s="12"/>
      <c r="Q97" s="12"/>
      <c r="R97" s="12">
        <v>300</v>
      </c>
      <c r="S97" t="s">
        <v>148</v>
      </c>
      <c r="T97" s="12" t="s">
        <v>168</v>
      </c>
      <c r="U97" s="12">
        <v>250</v>
      </c>
      <c r="V97" t="s">
        <v>148</v>
      </c>
      <c r="Z97" s="12">
        <v>4</v>
      </c>
      <c r="AA97" s="12" t="s">
        <v>169</v>
      </c>
      <c r="AB97" s="12">
        <v>120</v>
      </c>
      <c r="AC97" t="s">
        <v>148</v>
      </c>
      <c r="AD97" s="12" t="s">
        <v>313</v>
      </c>
      <c r="AE97" s="12" t="s">
        <v>144</v>
      </c>
      <c r="AF97" s="12" t="s">
        <v>263</v>
      </c>
      <c r="AG97" s="13" t="s">
        <v>172</v>
      </c>
      <c r="AH97" s="12" t="s">
        <v>173</v>
      </c>
      <c r="AI97" s="12" t="s">
        <v>145</v>
      </c>
      <c r="AJ97" s="12" t="s">
        <v>146</v>
      </c>
      <c r="AK97" s="12" t="s">
        <v>147</v>
      </c>
      <c r="AL97" s="12" t="s">
        <v>314</v>
      </c>
      <c r="AM97" s="12">
        <v>375</v>
      </c>
      <c r="AN97" t="s">
        <v>175</v>
      </c>
      <c r="AO97" s="12">
        <v>0</v>
      </c>
      <c r="AP97" t="s">
        <v>186</v>
      </c>
      <c r="AQ97" s="12" t="b">
        <v>0</v>
      </c>
      <c r="BR97" s="12" t="s">
        <v>155</v>
      </c>
      <c r="BV97" s="12" t="s">
        <v>179</v>
      </c>
      <c r="CF97" s="12" t="s">
        <v>426</v>
      </c>
      <c r="CS97" s="12" t="s">
        <v>227</v>
      </c>
      <c r="DA97" s="12">
        <v>1</v>
      </c>
      <c r="DB97" s="12">
        <v>2</v>
      </c>
      <c r="DF97" t="s">
        <v>421</v>
      </c>
      <c r="DN97" s="12" t="b">
        <v>0</v>
      </c>
      <c r="DQ97">
        <f t="shared" si="80"/>
        <v>1</v>
      </c>
      <c r="DR97">
        <f t="shared" si="81"/>
        <v>1</v>
      </c>
      <c r="DS97">
        <v>0.5</v>
      </c>
      <c r="DT97">
        <v>0.2</v>
      </c>
      <c r="DU97">
        <v>1</v>
      </c>
      <c r="DV97">
        <v>1</v>
      </c>
      <c r="DW97">
        <v>0.6</v>
      </c>
      <c r="DX97">
        <f t="shared" si="82"/>
        <v>0.1</v>
      </c>
      <c r="DY97">
        <f t="shared" si="83"/>
        <v>31902.482521134691</v>
      </c>
      <c r="DZ97">
        <f t="shared" si="84"/>
        <v>3.64183590423912</v>
      </c>
      <c r="EA97">
        <f t="shared" si="85"/>
        <v>43.7</v>
      </c>
    </row>
    <row r="98" spans="1:131" ht="135" hidden="1" x14ac:dyDescent="0.25">
      <c r="A98" t="s">
        <v>428</v>
      </c>
      <c r="B98" t="s">
        <v>130</v>
      </c>
      <c r="C98" t="s">
        <v>131</v>
      </c>
      <c r="D98" t="s">
        <v>370</v>
      </c>
      <c r="E98" t="s">
        <v>371</v>
      </c>
      <c r="F98" t="s">
        <v>429</v>
      </c>
      <c r="G98" t="s">
        <v>165</v>
      </c>
      <c r="H98" t="s">
        <v>424</v>
      </c>
      <c r="I98" t="s">
        <v>165</v>
      </c>
      <c r="L98" s="11" t="s">
        <v>425</v>
      </c>
      <c r="M98" t="s">
        <v>137</v>
      </c>
      <c r="N98" t="b">
        <v>0</v>
      </c>
      <c r="P98" s="12"/>
      <c r="Q98" s="12"/>
      <c r="R98" s="12">
        <v>300</v>
      </c>
      <c r="S98" t="s">
        <v>148</v>
      </c>
      <c r="T98" s="12" t="s">
        <v>168</v>
      </c>
      <c r="U98" s="12">
        <v>250</v>
      </c>
      <c r="V98" t="s">
        <v>148</v>
      </c>
      <c r="Z98" s="12">
        <v>4</v>
      </c>
      <c r="AA98" s="12" t="s">
        <v>169</v>
      </c>
      <c r="AB98" s="12">
        <v>120</v>
      </c>
      <c r="AC98" t="s">
        <v>148</v>
      </c>
      <c r="AD98" s="12" t="s">
        <v>313</v>
      </c>
      <c r="AE98" s="12" t="s">
        <v>144</v>
      </c>
      <c r="AF98" s="12" t="s">
        <v>263</v>
      </c>
      <c r="AG98" s="13" t="s">
        <v>172</v>
      </c>
      <c r="AH98" s="12" t="s">
        <v>173</v>
      </c>
      <c r="AI98" s="12" t="s">
        <v>145</v>
      </c>
      <c r="AJ98" s="12" t="s">
        <v>146</v>
      </c>
      <c r="AK98" s="12" t="s">
        <v>147</v>
      </c>
      <c r="AL98" s="12" t="s">
        <v>314</v>
      </c>
      <c r="AM98" s="12">
        <v>375</v>
      </c>
      <c r="AN98" t="s">
        <v>175</v>
      </c>
      <c r="AO98" s="12">
        <v>0</v>
      </c>
      <c r="AQ98" s="12" t="b">
        <v>0</v>
      </c>
      <c r="BR98" s="12" t="s">
        <v>155</v>
      </c>
      <c r="BV98" s="12" t="s">
        <v>179</v>
      </c>
      <c r="CF98" s="12" t="s">
        <v>426</v>
      </c>
      <c r="CS98" s="12" t="s">
        <v>227</v>
      </c>
      <c r="DA98" s="12">
        <v>1</v>
      </c>
      <c r="DB98" s="12">
        <v>2</v>
      </c>
      <c r="DF98" t="s">
        <v>421</v>
      </c>
      <c r="DN98" s="12" t="b">
        <v>0</v>
      </c>
      <c r="DQ98">
        <f t="shared" si="80"/>
        <v>1</v>
      </c>
      <c r="DR98">
        <f t="shared" si="81"/>
        <v>1</v>
      </c>
      <c r="DS98">
        <v>0.5</v>
      </c>
      <c r="DT98">
        <v>0.2</v>
      </c>
      <c r="DU98">
        <v>1</v>
      </c>
      <c r="DV98">
        <v>1</v>
      </c>
      <c r="DW98">
        <v>0.6</v>
      </c>
      <c r="DX98">
        <f t="shared" si="82"/>
        <v>0.1</v>
      </c>
      <c r="DY98">
        <f t="shared" si="83"/>
        <v>31902.482521134691</v>
      </c>
      <c r="DZ98">
        <f t="shared" si="84"/>
        <v>3.64183590423912</v>
      </c>
      <c r="EA98">
        <f t="shared" si="85"/>
        <v>43.7</v>
      </c>
    </row>
    <row r="99" spans="1:131" ht="135" hidden="1" x14ac:dyDescent="0.25">
      <c r="A99" t="s">
        <v>430</v>
      </c>
      <c r="B99" t="s">
        <v>130</v>
      </c>
      <c r="C99" t="s">
        <v>131</v>
      </c>
      <c r="D99" t="s">
        <v>370</v>
      </c>
      <c r="E99" t="s">
        <v>371</v>
      </c>
      <c r="F99" t="s">
        <v>431</v>
      </c>
      <c r="G99" t="s">
        <v>165</v>
      </c>
      <c r="H99" t="s">
        <v>424</v>
      </c>
      <c r="I99" t="s">
        <v>165</v>
      </c>
      <c r="L99" s="11" t="s">
        <v>425</v>
      </c>
      <c r="M99" t="s">
        <v>137</v>
      </c>
      <c r="N99" t="b">
        <v>0</v>
      </c>
      <c r="P99" s="12"/>
      <c r="Q99" s="12"/>
      <c r="R99" s="12">
        <v>300</v>
      </c>
      <c r="S99" t="s">
        <v>148</v>
      </c>
      <c r="T99" s="12" t="s">
        <v>168</v>
      </c>
      <c r="U99" s="12">
        <v>250</v>
      </c>
      <c r="V99" t="s">
        <v>148</v>
      </c>
      <c r="Z99" s="12">
        <v>4</v>
      </c>
      <c r="AA99" s="12" t="s">
        <v>169</v>
      </c>
      <c r="AB99" s="12">
        <v>120</v>
      </c>
      <c r="AC99" t="s">
        <v>148</v>
      </c>
      <c r="AD99" s="12" t="s">
        <v>313</v>
      </c>
      <c r="AE99" s="12" t="s">
        <v>144</v>
      </c>
      <c r="AF99" s="12" t="s">
        <v>263</v>
      </c>
      <c r="AG99" s="13" t="s">
        <v>172</v>
      </c>
      <c r="AH99" s="12" t="s">
        <v>173</v>
      </c>
      <c r="AI99" s="12" t="s">
        <v>145</v>
      </c>
      <c r="AJ99" s="12" t="s">
        <v>146</v>
      </c>
      <c r="AK99" s="12" t="s">
        <v>147</v>
      </c>
      <c r="AL99" s="12" t="s">
        <v>314</v>
      </c>
      <c r="AM99" s="12">
        <v>375</v>
      </c>
      <c r="AN99" t="s">
        <v>175</v>
      </c>
      <c r="AO99" s="12">
        <v>0</v>
      </c>
      <c r="AP99" t="s">
        <v>186</v>
      </c>
      <c r="AQ99" s="12" t="b">
        <v>0</v>
      </c>
      <c r="BR99" s="12" t="s">
        <v>155</v>
      </c>
      <c r="BV99" s="12" t="s">
        <v>179</v>
      </c>
      <c r="CF99" s="12" t="s">
        <v>426</v>
      </c>
      <c r="CS99" s="12" t="s">
        <v>227</v>
      </c>
      <c r="DA99" s="12">
        <v>1</v>
      </c>
      <c r="DB99" s="12">
        <v>2</v>
      </c>
      <c r="DF99" t="s">
        <v>421</v>
      </c>
      <c r="DN99" s="12" t="b">
        <v>0</v>
      </c>
      <c r="DQ99">
        <f t="shared" si="80"/>
        <v>1</v>
      </c>
      <c r="DR99">
        <f t="shared" si="81"/>
        <v>1</v>
      </c>
      <c r="DS99">
        <v>0.5</v>
      </c>
      <c r="DT99">
        <v>0.2</v>
      </c>
      <c r="DU99">
        <v>1</v>
      </c>
      <c r="DV99">
        <v>1</v>
      </c>
      <c r="DW99">
        <v>0.6</v>
      </c>
      <c r="DX99">
        <f t="shared" si="82"/>
        <v>0.1</v>
      </c>
      <c r="DY99">
        <f t="shared" si="83"/>
        <v>31902.482521134691</v>
      </c>
      <c r="DZ99">
        <f t="shared" si="84"/>
        <v>3.64183590423912</v>
      </c>
      <c r="EA99">
        <f t="shared" si="85"/>
        <v>43.7</v>
      </c>
    </row>
    <row r="100" spans="1:131" ht="135" hidden="1" x14ac:dyDescent="0.25">
      <c r="A100" t="s">
        <v>432</v>
      </c>
      <c r="B100" t="s">
        <v>130</v>
      </c>
      <c r="C100" t="s">
        <v>131</v>
      </c>
      <c r="D100" t="s">
        <v>370</v>
      </c>
      <c r="E100" t="s">
        <v>371</v>
      </c>
      <c r="F100" t="s">
        <v>433</v>
      </c>
      <c r="G100" t="s">
        <v>165</v>
      </c>
      <c r="H100" t="s">
        <v>424</v>
      </c>
      <c r="I100" t="s">
        <v>165</v>
      </c>
      <c r="L100" s="11" t="s">
        <v>425</v>
      </c>
      <c r="M100" t="s">
        <v>137</v>
      </c>
      <c r="N100" t="b">
        <v>0</v>
      </c>
      <c r="P100" s="12"/>
      <c r="Q100" s="12"/>
      <c r="R100" s="12">
        <v>300</v>
      </c>
      <c r="S100" t="s">
        <v>148</v>
      </c>
      <c r="T100" s="12" t="s">
        <v>168</v>
      </c>
      <c r="U100" s="12">
        <v>250</v>
      </c>
      <c r="V100" t="s">
        <v>148</v>
      </c>
      <c r="Z100" s="12">
        <v>4</v>
      </c>
      <c r="AA100" s="12" t="s">
        <v>169</v>
      </c>
      <c r="AB100" s="12">
        <v>120</v>
      </c>
      <c r="AC100" t="s">
        <v>148</v>
      </c>
      <c r="AD100" s="12" t="s">
        <v>313</v>
      </c>
      <c r="AE100" s="12" t="s">
        <v>144</v>
      </c>
      <c r="AF100" s="12" t="s">
        <v>263</v>
      </c>
      <c r="AG100" s="13" t="s">
        <v>172</v>
      </c>
      <c r="AH100" s="12" t="s">
        <v>173</v>
      </c>
      <c r="AI100" s="12" t="s">
        <v>145</v>
      </c>
      <c r="AJ100" s="12" t="s">
        <v>146</v>
      </c>
      <c r="AK100" s="12" t="s">
        <v>147</v>
      </c>
      <c r="AL100" s="12" t="s">
        <v>314</v>
      </c>
      <c r="AM100" s="12">
        <v>375</v>
      </c>
      <c r="AN100" t="s">
        <v>175</v>
      </c>
      <c r="AO100" s="12">
        <v>0</v>
      </c>
      <c r="AQ100" s="12" t="b">
        <v>0</v>
      </c>
      <c r="BR100" s="12" t="s">
        <v>155</v>
      </c>
      <c r="BV100" s="12" t="s">
        <v>179</v>
      </c>
      <c r="CF100" s="12" t="s">
        <v>426</v>
      </c>
      <c r="CS100" s="12" t="s">
        <v>227</v>
      </c>
      <c r="DA100" s="12">
        <v>1</v>
      </c>
      <c r="DB100" s="12">
        <v>2</v>
      </c>
      <c r="DF100" t="s">
        <v>421</v>
      </c>
      <c r="DN100" s="12" t="b">
        <v>0</v>
      </c>
      <c r="DQ100">
        <f t="shared" si="80"/>
        <v>1</v>
      </c>
      <c r="DR100">
        <f t="shared" si="81"/>
        <v>1</v>
      </c>
      <c r="DS100">
        <v>0.5</v>
      </c>
      <c r="DT100">
        <v>0.2</v>
      </c>
      <c r="DU100">
        <v>1</v>
      </c>
      <c r="DV100">
        <v>1</v>
      </c>
      <c r="DW100">
        <v>0.6</v>
      </c>
      <c r="DX100">
        <f t="shared" si="82"/>
        <v>0.1</v>
      </c>
      <c r="DY100">
        <f t="shared" si="83"/>
        <v>31902.482521134691</v>
      </c>
      <c r="DZ100">
        <f t="shared" si="84"/>
        <v>3.64183590423912</v>
      </c>
      <c r="EA100">
        <f t="shared" si="85"/>
        <v>43.7</v>
      </c>
    </row>
    <row r="101" spans="1:131" hidden="1" x14ac:dyDescent="0.25">
      <c r="A101" t="s">
        <v>434</v>
      </c>
      <c r="B101" t="s">
        <v>130</v>
      </c>
      <c r="C101" t="s">
        <v>131</v>
      </c>
      <c r="D101" t="s">
        <v>370</v>
      </c>
      <c r="E101" t="s">
        <v>371</v>
      </c>
      <c r="F101" t="s">
        <v>435</v>
      </c>
      <c r="G101" t="s">
        <v>436</v>
      </c>
      <c r="H101" t="s">
        <v>437</v>
      </c>
      <c r="I101" t="s">
        <v>438</v>
      </c>
      <c r="M101" t="s">
        <v>137</v>
      </c>
      <c r="N101" t="b">
        <v>0</v>
      </c>
      <c r="AM101" s="12">
        <v>18000</v>
      </c>
      <c r="AN101" t="s">
        <v>175</v>
      </c>
      <c r="AO101" s="12">
        <v>1</v>
      </c>
      <c r="AP101" t="s">
        <v>321</v>
      </c>
      <c r="AR101" s="12" t="str">
        <f>HYPERLINK("https://www.google.com/search?q=","")</f>
        <v/>
      </c>
      <c r="BA101" s="12">
        <v>18000</v>
      </c>
      <c r="BB101" t="s">
        <v>175</v>
      </c>
      <c r="BR101" s="12" t="s">
        <v>155</v>
      </c>
      <c r="BV101" s="12" t="s">
        <v>439</v>
      </c>
      <c r="CS101" s="12" t="s">
        <v>440</v>
      </c>
      <c r="CT101" s="12" t="s">
        <v>441</v>
      </c>
      <c r="DA101" s="12">
        <v>1</v>
      </c>
      <c r="DB101" s="12">
        <v>1</v>
      </c>
      <c r="DV101">
        <f t="shared" si="79"/>
        <v>0.5</v>
      </c>
    </row>
    <row r="102" spans="1:131" hidden="1" x14ac:dyDescent="0.25">
      <c r="A102" t="s">
        <v>442</v>
      </c>
      <c r="B102" t="s">
        <v>130</v>
      </c>
      <c r="C102" t="s">
        <v>131</v>
      </c>
      <c r="D102" t="s">
        <v>370</v>
      </c>
      <c r="E102" t="s">
        <v>371</v>
      </c>
      <c r="F102" t="s">
        <v>443</v>
      </c>
      <c r="G102" t="s">
        <v>319</v>
      </c>
      <c r="H102" t="s">
        <v>320</v>
      </c>
      <c r="I102" t="s">
        <v>319</v>
      </c>
      <c r="M102" t="s">
        <v>137</v>
      </c>
      <c r="N102" t="b">
        <v>0</v>
      </c>
      <c r="Z102" s="12">
        <v>4</v>
      </c>
      <c r="AI102" s="12" t="s">
        <v>145</v>
      </c>
      <c r="AJ102" s="12" t="s">
        <v>146</v>
      </c>
      <c r="AK102" s="12" t="s">
        <v>147</v>
      </c>
      <c r="AO102" s="12">
        <v>1</v>
      </c>
      <c r="AP102" t="s">
        <v>321</v>
      </c>
      <c r="BG102" s="12">
        <v>30</v>
      </c>
      <c r="BV102" s="12"/>
      <c r="CW102" s="12" t="s">
        <v>322</v>
      </c>
      <c r="DB102" s="12">
        <v>1</v>
      </c>
      <c r="DV102">
        <f t="shared" si="79"/>
        <v>0.5</v>
      </c>
    </row>
    <row r="103" spans="1:131" hidden="1" x14ac:dyDescent="0.25">
      <c r="A103" t="s">
        <v>444</v>
      </c>
      <c r="B103" t="s">
        <v>130</v>
      </c>
      <c r="C103" t="s">
        <v>131</v>
      </c>
      <c r="D103" t="s">
        <v>370</v>
      </c>
      <c r="E103" t="s">
        <v>371</v>
      </c>
      <c r="F103" t="s">
        <v>445</v>
      </c>
      <c r="G103" t="s">
        <v>319</v>
      </c>
      <c r="H103" t="s">
        <v>320</v>
      </c>
      <c r="I103" t="s">
        <v>319</v>
      </c>
      <c r="M103" t="s">
        <v>137</v>
      </c>
      <c r="N103" t="b">
        <v>0</v>
      </c>
      <c r="Z103" s="12">
        <v>4</v>
      </c>
      <c r="AI103" s="12" t="s">
        <v>145</v>
      </c>
      <c r="AJ103" s="12" t="s">
        <v>146</v>
      </c>
      <c r="AK103" s="12" t="s">
        <v>147</v>
      </c>
      <c r="AO103" s="12">
        <v>1</v>
      </c>
      <c r="AP103" t="s">
        <v>321</v>
      </c>
      <c r="BG103" s="12">
        <v>30</v>
      </c>
      <c r="BV103" s="12"/>
      <c r="CW103" s="12" t="s">
        <v>322</v>
      </c>
      <c r="DB103" s="12">
        <v>1</v>
      </c>
      <c r="DV103">
        <f t="shared" si="79"/>
        <v>0.5</v>
      </c>
    </row>
    <row r="104" spans="1:131" hidden="1" x14ac:dyDescent="0.25">
      <c r="A104" t="s">
        <v>446</v>
      </c>
      <c r="B104" t="s">
        <v>447</v>
      </c>
      <c r="C104" t="s">
        <v>448</v>
      </c>
      <c r="D104" t="s">
        <v>449</v>
      </c>
      <c r="E104" t="s">
        <v>450</v>
      </c>
      <c r="F104" t="s">
        <v>451</v>
      </c>
      <c r="G104" t="s">
        <v>373</v>
      </c>
      <c r="H104" t="s">
        <v>374</v>
      </c>
      <c r="I104" t="s">
        <v>373</v>
      </c>
      <c r="M104" t="s">
        <v>137</v>
      </c>
      <c r="N104" t="b">
        <v>0</v>
      </c>
      <c r="AE104" s="12" t="s">
        <v>144</v>
      </c>
      <c r="AI104" s="12" t="s">
        <v>145</v>
      </c>
      <c r="AJ104" s="12" t="s">
        <v>146</v>
      </c>
      <c r="AK104" s="12" t="s">
        <v>147</v>
      </c>
      <c r="AO104" s="12">
        <v>1</v>
      </c>
      <c r="AP104" t="s">
        <v>321</v>
      </c>
      <c r="BV104" s="12" t="s">
        <v>179</v>
      </c>
      <c r="CW104" s="12" t="s">
        <v>322</v>
      </c>
      <c r="DB104" s="12">
        <v>1</v>
      </c>
      <c r="DV104">
        <f t="shared" si="79"/>
        <v>0.5</v>
      </c>
    </row>
    <row r="105" spans="1:131" hidden="1" x14ac:dyDescent="0.25">
      <c r="A105" t="s">
        <v>452</v>
      </c>
      <c r="B105" t="s">
        <v>447</v>
      </c>
      <c r="C105" t="s">
        <v>448</v>
      </c>
      <c r="D105" t="s">
        <v>449</v>
      </c>
      <c r="E105" t="s">
        <v>450</v>
      </c>
      <c r="F105" t="s">
        <v>453</v>
      </c>
      <c r="G105" t="s">
        <v>373</v>
      </c>
      <c r="H105" t="s">
        <v>374</v>
      </c>
      <c r="I105" t="s">
        <v>373</v>
      </c>
      <c r="M105" t="s">
        <v>137</v>
      </c>
      <c r="N105" t="b">
        <v>0</v>
      </c>
      <c r="AE105" s="12" t="s">
        <v>144</v>
      </c>
      <c r="AI105" s="12" t="s">
        <v>145</v>
      </c>
      <c r="AJ105" s="12" t="s">
        <v>146</v>
      </c>
      <c r="AK105" s="12" t="s">
        <v>147</v>
      </c>
      <c r="AO105" s="12">
        <v>1</v>
      </c>
      <c r="AP105" t="s">
        <v>321</v>
      </c>
      <c r="BV105" s="12" t="s">
        <v>179</v>
      </c>
      <c r="CW105" s="12" t="s">
        <v>322</v>
      </c>
      <c r="DB105" s="12">
        <v>18</v>
      </c>
      <c r="DV105">
        <f t="shared" si="79"/>
        <v>0.5</v>
      </c>
    </row>
    <row r="106" spans="1:131" hidden="1" x14ac:dyDescent="0.25">
      <c r="A106" t="s">
        <v>454</v>
      </c>
      <c r="B106" t="s">
        <v>447</v>
      </c>
      <c r="C106" t="s">
        <v>448</v>
      </c>
      <c r="D106" t="s">
        <v>449</v>
      </c>
      <c r="E106" t="s">
        <v>450</v>
      </c>
      <c r="F106" t="s">
        <v>455</v>
      </c>
      <c r="G106" t="s">
        <v>135</v>
      </c>
      <c r="H106" t="s">
        <v>136</v>
      </c>
      <c r="I106" t="s">
        <v>135</v>
      </c>
      <c r="M106" t="s">
        <v>137</v>
      </c>
      <c r="N106" t="b">
        <v>0</v>
      </c>
      <c r="Y106">
        <v>22</v>
      </c>
      <c r="Z106">
        <v>1500</v>
      </c>
      <c r="DB106" s="12"/>
      <c r="DV106">
        <f t="shared" si="79"/>
        <v>1</v>
      </c>
    </row>
    <row r="107" spans="1:131" hidden="1" x14ac:dyDescent="0.25">
      <c r="A107" t="s">
        <v>456</v>
      </c>
      <c r="B107" t="s">
        <v>447</v>
      </c>
      <c r="C107" t="s">
        <v>448</v>
      </c>
      <c r="D107" t="s">
        <v>449</v>
      </c>
      <c r="E107" t="s">
        <v>450</v>
      </c>
      <c r="F107" t="s">
        <v>457</v>
      </c>
      <c r="G107" t="s">
        <v>140</v>
      </c>
      <c r="H107" t="s">
        <v>141</v>
      </c>
      <c r="I107" t="s">
        <v>142</v>
      </c>
      <c r="M107" t="s">
        <v>137</v>
      </c>
      <c r="N107" t="b">
        <v>0</v>
      </c>
      <c r="Y107" s="12">
        <v>22</v>
      </c>
      <c r="AE107" s="12" t="s">
        <v>144</v>
      </c>
      <c r="AI107" s="12" t="s">
        <v>145</v>
      </c>
      <c r="AJ107" s="12" t="s">
        <v>146</v>
      </c>
      <c r="AK107" s="12" t="s">
        <v>147</v>
      </c>
      <c r="AR107" s="12" t="str">
        <f>HYPERLINK("https://www.google.com/search?q=Adaro 2PR - 86.6 H","Adaro 2PR - 86.6 H")</f>
        <v>Adaro 2PR - 86.6 H</v>
      </c>
      <c r="AS107">
        <v>800</v>
      </c>
      <c r="AT107" t="s">
        <v>148</v>
      </c>
      <c r="AU107">
        <v>400</v>
      </c>
      <c r="AV107" t="s">
        <v>148</v>
      </c>
      <c r="AW107">
        <v>1400</v>
      </c>
      <c r="AX107" t="s">
        <v>148</v>
      </c>
      <c r="AY107" s="12">
        <v>42</v>
      </c>
      <c r="AZ107" t="s">
        <v>149</v>
      </c>
      <c r="BF107" s="12" t="s">
        <v>150</v>
      </c>
      <c r="BH107" s="12" t="s">
        <v>458</v>
      </c>
      <c r="BI107" s="12" t="s">
        <v>152</v>
      </c>
      <c r="BL107" s="12" t="s">
        <v>159</v>
      </c>
      <c r="BN107" s="12" t="s">
        <v>154</v>
      </c>
      <c r="BP107" s="12" t="s">
        <v>155</v>
      </c>
      <c r="BT107" s="12" t="s">
        <v>340</v>
      </c>
      <c r="BV107" s="12" t="s">
        <v>157</v>
      </c>
      <c r="BY107" s="12" t="s">
        <v>155</v>
      </c>
      <c r="CA107" s="12" t="s">
        <v>218</v>
      </c>
      <c r="CD107" s="12">
        <v>120</v>
      </c>
      <c r="CE107" t="s">
        <v>148</v>
      </c>
      <c r="CH107" s="12" t="s">
        <v>159</v>
      </c>
      <c r="CU107" s="12" t="s">
        <v>159</v>
      </c>
      <c r="DC107" s="12" t="b">
        <v>0</v>
      </c>
      <c r="DD107" s="12" t="s">
        <v>219</v>
      </c>
      <c r="DG107" s="12" t="s">
        <v>459</v>
      </c>
      <c r="DV107">
        <f t="shared" si="79"/>
        <v>1</v>
      </c>
    </row>
    <row r="108" spans="1:131" hidden="1" x14ac:dyDescent="0.25">
      <c r="A108" t="s">
        <v>460</v>
      </c>
      <c r="B108" t="s">
        <v>447</v>
      </c>
      <c r="C108" t="s">
        <v>448</v>
      </c>
      <c r="D108" t="s">
        <v>449</v>
      </c>
      <c r="E108" t="s">
        <v>450</v>
      </c>
      <c r="F108" t="s">
        <v>461</v>
      </c>
      <c r="G108" t="s">
        <v>165</v>
      </c>
      <c r="H108" t="s">
        <v>166</v>
      </c>
      <c r="I108" t="s">
        <v>165</v>
      </c>
      <c r="M108" t="s">
        <v>137</v>
      </c>
      <c r="N108" t="b">
        <v>0</v>
      </c>
      <c r="P108" s="12"/>
      <c r="Q108" s="12"/>
      <c r="R108" s="12"/>
      <c r="S108" t="s">
        <v>225</v>
      </c>
      <c r="T108" s="12" t="s">
        <v>168</v>
      </c>
      <c r="U108" s="12"/>
      <c r="V108" t="s">
        <v>225</v>
      </c>
      <c r="Z108" s="12">
        <v>120</v>
      </c>
      <c r="AA108" s="12" t="s">
        <v>169</v>
      </c>
      <c r="AB108" s="12"/>
      <c r="AC108" t="s">
        <v>225</v>
      </c>
      <c r="AD108" s="12"/>
      <c r="AE108" s="12" t="s">
        <v>205</v>
      </c>
      <c r="AF108" s="12" t="s">
        <v>263</v>
      </c>
      <c r="AG108" s="13" t="s">
        <v>172</v>
      </c>
      <c r="AH108" s="12" t="s">
        <v>173</v>
      </c>
      <c r="AI108" s="12" t="s">
        <v>145</v>
      </c>
      <c r="AJ108" s="12" t="s">
        <v>146</v>
      </c>
      <c r="AK108" s="12" t="s">
        <v>147</v>
      </c>
      <c r="AL108" s="12" t="s">
        <v>174</v>
      </c>
      <c r="AM108" s="12"/>
      <c r="AO108" s="12">
        <v>0</v>
      </c>
      <c r="AQ108" s="12" t="b">
        <v>0</v>
      </c>
      <c r="BR108" s="12" t="s">
        <v>155</v>
      </c>
      <c r="BV108" s="12" t="s">
        <v>179</v>
      </c>
      <c r="CF108" s="12" t="s">
        <v>187</v>
      </c>
      <c r="CS108" s="12" t="s">
        <v>181</v>
      </c>
      <c r="DA108" s="12">
        <v>1</v>
      </c>
      <c r="DB108" s="12">
        <v>19</v>
      </c>
      <c r="DN108" s="12" t="b">
        <v>0</v>
      </c>
      <c r="DV108">
        <f t="shared" si="79"/>
        <v>1</v>
      </c>
    </row>
    <row r="109" spans="1:131" hidden="1" x14ac:dyDescent="0.25">
      <c r="A109" t="s">
        <v>462</v>
      </c>
      <c r="B109" t="s">
        <v>447</v>
      </c>
      <c r="C109" t="s">
        <v>448</v>
      </c>
      <c r="D109" t="s">
        <v>449</v>
      </c>
      <c r="E109" t="s">
        <v>450</v>
      </c>
      <c r="F109" t="s">
        <v>463</v>
      </c>
      <c r="G109" t="s">
        <v>165</v>
      </c>
      <c r="H109" t="s">
        <v>166</v>
      </c>
      <c r="I109" t="s">
        <v>165</v>
      </c>
      <c r="M109" t="s">
        <v>137</v>
      </c>
      <c r="N109" t="b">
        <v>0</v>
      </c>
      <c r="P109" s="12"/>
      <c r="Q109" s="12"/>
      <c r="R109" s="12"/>
      <c r="S109" t="s">
        <v>225</v>
      </c>
      <c r="T109" s="12" t="s">
        <v>168</v>
      </c>
      <c r="U109" s="12"/>
      <c r="V109" t="s">
        <v>225</v>
      </c>
      <c r="Z109" s="12">
        <v>120</v>
      </c>
      <c r="AA109" s="12" t="s">
        <v>169</v>
      </c>
      <c r="AB109" s="12"/>
      <c r="AC109" t="s">
        <v>225</v>
      </c>
      <c r="AD109" s="12"/>
      <c r="AE109" s="12" t="s">
        <v>205</v>
      </c>
      <c r="AF109" s="12" t="s">
        <v>263</v>
      </c>
      <c r="AG109" s="13" t="s">
        <v>172</v>
      </c>
      <c r="AH109" s="12" t="s">
        <v>173</v>
      </c>
      <c r="AI109" s="12" t="s">
        <v>145</v>
      </c>
      <c r="AJ109" s="12" t="s">
        <v>146</v>
      </c>
      <c r="AK109" s="12" t="s">
        <v>147</v>
      </c>
      <c r="AL109" s="12" t="s">
        <v>174</v>
      </c>
      <c r="AM109" s="12"/>
      <c r="AO109" s="12">
        <v>0</v>
      </c>
      <c r="AQ109" s="12" t="b">
        <v>0</v>
      </c>
      <c r="BR109" s="12" t="s">
        <v>155</v>
      </c>
      <c r="BV109" s="12" t="s">
        <v>179</v>
      </c>
      <c r="CF109" s="12" t="s">
        <v>187</v>
      </c>
      <c r="CS109" s="12" t="s">
        <v>181</v>
      </c>
      <c r="DA109" s="12">
        <v>1</v>
      </c>
      <c r="DB109" s="12">
        <v>1</v>
      </c>
      <c r="DN109" s="12" t="b">
        <v>0</v>
      </c>
      <c r="DV109">
        <f t="shared" si="79"/>
        <v>0.5</v>
      </c>
    </row>
    <row r="110" spans="1:131" hidden="1" x14ac:dyDescent="0.25">
      <c r="A110" t="s">
        <v>464</v>
      </c>
      <c r="B110" t="s">
        <v>447</v>
      </c>
      <c r="C110" t="s">
        <v>448</v>
      </c>
      <c r="D110" t="s">
        <v>449</v>
      </c>
      <c r="E110" t="s">
        <v>450</v>
      </c>
      <c r="F110" t="s">
        <v>465</v>
      </c>
      <c r="G110" t="s">
        <v>165</v>
      </c>
      <c r="H110" t="s">
        <v>166</v>
      </c>
      <c r="I110" t="s">
        <v>165</v>
      </c>
      <c r="M110" t="s">
        <v>137</v>
      </c>
      <c r="N110" t="b">
        <v>0</v>
      </c>
      <c r="P110" s="12"/>
      <c r="Q110" s="12"/>
      <c r="R110" s="12"/>
      <c r="S110" t="s">
        <v>225</v>
      </c>
      <c r="T110" s="12" t="s">
        <v>168</v>
      </c>
      <c r="U110" s="12"/>
      <c r="V110" t="s">
        <v>225</v>
      </c>
      <c r="Z110" s="12">
        <v>120</v>
      </c>
      <c r="AA110" s="12" t="s">
        <v>169</v>
      </c>
      <c r="AB110" s="12"/>
      <c r="AC110" t="s">
        <v>225</v>
      </c>
      <c r="AD110" s="12"/>
      <c r="AE110" s="12" t="s">
        <v>205</v>
      </c>
      <c r="AF110" s="12" t="s">
        <v>263</v>
      </c>
      <c r="AG110" s="13" t="s">
        <v>172</v>
      </c>
      <c r="AH110" s="12" t="s">
        <v>173</v>
      </c>
      <c r="AI110" s="12" t="s">
        <v>145</v>
      </c>
      <c r="AJ110" s="12" t="s">
        <v>146</v>
      </c>
      <c r="AK110" s="12" t="s">
        <v>147</v>
      </c>
      <c r="AL110" s="12" t="s">
        <v>174</v>
      </c>
      <c r="AM110" s="12"/>
      <c r="AO110" s="12">
        <v>0</v>
      </c>
      <c r="AQ110" s="12" t="b">
        <v>0</v>
      </c>
      <c r="BR110" s="12" t="s">
        <v>155</v>
      </c>
      <c r="BV110" s="12" t="s">
        <v>179</v>
      </c>
      <c r="CF110" s="12" t="s">
        <v>187</v>
      </c>
      <c r="CS110" s="12" t="s">
        <v>181</v>
      </c>
      <c r="DA110" s="12">
        <v>1</v>
      </c>
      <c r="DB110" s="12">
        <v>1</v>
      </c>
      <c r="DN110" s="12" t="b">
        <v>0</v>
      </c>
      <c r="DV110">
        <f t="shared" si="79"/>
        <v>0.5</v>
      </c>
    </row>
    <row r="111" spans="1:131" hidden="1" x14ac:dyDescent="0.25">
      <c r="A111" t="s">
        <v>466</v>
      </c>
      <c r="B111" t="s">
        <v>447</v>
      </c>
      <c r="C111" t="s">
        <v>448</v>
      </c>
      <c r="D111" t="s">
        <v>467</v>
      </c>
      <c r="E111" t="s">
        <v>468</v>
      </c>
      <c r="F111" t="s">
        <v>451</v>
      </c>
      <c r="G111" t="s">
        <v>373</v>
      </c>
      <c r="H111" t="s">
        <v>374</v>
      </c>
      <c r="I111" t="s">
        <v>373</v>
      </c>
      <c r="M111" t="s">
        <v>137</v>
      </c>
      <c r="N111" t="b">
        <v>0</v>
      </c>
      <c r="AE111" s="12" t="s">
        <v>144</v>
      </c>
      <c r="AI111" s="12" t="s">
        <v>145</v>
      </c>
      <c r="AJ111" s="12" t="s">
        <v>146</v>
      </c>
      <c r="AK111" s="12" t="s">
        <v>147</v>
      </c>
      <c r="AO111" s="12">
        <v>1</v>
      </c>
      <c r="AP111" t="s">
        <v>321</v>
      </c>
      <c r="BV111" s="12" t="s">
        <v>179</v>
      </c>
      <c r="CW111" s="12" t="s">
        <v>322</v>
      </c>
      <c r="DB111" s="12">
        <v>1</v>
      </c>
      <c r="DV111">
        <f t="shared" si="79"/>
        <v>0.5</v>
      </c>
    </row>
    <row r="112" spans="1:131" hidden="1" x14ac:dyDescent="0.25">
      <c r="A112" t="s">
        <v>469</v>
      </c>
      <c r="B112" t="s">
        <v>447</v>
      </c>
      <c r="C112" t="s">
        <v>448</v>
      </c>
      <c r="D112" t="s">
        <v>467</v>
      </c>
      <c r="E112" t="s">
        <v>468</v>
      </c>
      <c r="F112" t="s">
        <v>453</v>
      </c>
      <c r="G112" t="s">
        <v>373</v>
      </c>
      <c r="H112" t="s">
        <v>374</v>
      </c>
      <c r="I112" t="s">
        <v>373</v>
      </c>
      <c r="M112" t="s">
        <v>137</v>
      </c>
      <c r="N112" t="b">
        <v>0</v>
      </c>
      <c r="AE112" s="12" t="s">
        <v>144</v>
      </c>
      <c r="AI112" s="12" t="s">
        <v>145</v>
      </c>
      <c r="AJ112" s="12" t="s">
        <v>146</v>
      </c>
      <c r="AK112" s="12" t="s">
        <v>147</v>
      </c>
      <c r="AO112" s="12">
        <v>1</v>
      </c>
      <c r="AP112" t="s">
        <v>321</v>
      </c>
      <c r="BV112" s="12" t="s">
        <v>179</v>
      </c>
      <c r="CW112" s="12" t="s">
        <v>322</v>
      </c>
      <c r="DB112" s="12">
        <v>18</v>
      </c>
      <c r="DV112">
        <f t="shared" si="79"/>
        <v>0.5</v>
      </c>
    </row>
    <row r="113" spans="1:131" hidden="1" x14ac:dyDescent="0.25">
      <c r="A113" t="s">
        <v>470</v>
      </c>
      <c r="B113" t="s">
        <v>447</v>
      </c>
      <c r="C113" t="s">
        <v>448</v>
      </c>
      <c r="D113" t="s">
        <v>467</v>
      </c>
      <c r="E113" t="s">
        <v>468</v>
      </c>
      <c r="F113" t="s">
        <v>455</v>
      </c>
      <c r="G113" t="s">
        <v>135</v>
      </c>
      <c r="H113" t="s">
        <v>136</v>
      </c>
      <c r="I113" t="s">
        <v>135</v>
      </c>
      <c r="M113" t="s">
        <v>137</v>
      </c>
      <c r="N113" t="b">
        <v>0</v>
      </c>
      <c r="Y113">
        <v>22</v>
      </c>
      <c r="Z113" s="12">
        <v>1500</v>
      </c>
      <c r="DB113" s="12"/>
      <c r="DV113">
        <f t="shared" si="79"/>
        <v>1</v>
      </c>
    </row>
    <row r="114" spans="1:131" hidden="1" x14ac:dyDescent="0.25">
      <c r="A114" t="s">
        <v>471</v>
      </c>
      <c r="B114" t="s">
        <v>447</v>
      </c>
      <c r="C114" t="s">
        <v>448</v>
      </c>
      <c r="D114" t="s">
        <v>467</v>
      </c>
      <c r="E114" t="s">
        <v>468</v>
      </c>
      <c r="F114" t="s">
        <v>457</v>
      </c>
      <c r="G114" t="s">
        <v>140</v>
      </c>
      <c r="H114" t="s">
        <v>141</v>
      </c>
      <c r="I114" t="s">
        <v>142</v>
      </c>
      <c r="M114" t="s">
        <v>137</v>
      </c>
      <c r="N114" t="b">
        <v>0</v>
      </c>
      <c r="Y114" s="12">
        <v>22</v>
      </c>
      <c r="AE114" s="12" t="s">
        <v>144</v>
      </c>
      <c r="AI114" s="12" t="s">
        <v>145</v>
      </c>
      <c r="AJ114" s="12" t="s">
        <v>146</v>
      </c>
      <c r="AK114" s="12" t="s">
        <v>147</v>
      </c>
      <c r="AR114" s="12" t="str">
        <f>HYPERLINK("https://www.google.com/search?q=Adaro 2PR - 86.6 H","Adaro 2PR - 86.6 H")</f>
        <v>Adaro 2PR - 86.6 H</v>
      </c>
      <c r="AS114">
        <v>800</v>
      </c>
      <c r="AT114" t="s">
        <v>148</v>
      </c>
      <c r="AU114">
        <v>400</v>
      </c>
      <c r="AV114" t="s">
        <v>148</v>
      </c>
      <c r="AW114">
        <v>1400</v>
      </c>
      <c r="AX114" t="s">
        <v>148</v>
      </c>
      <c r="AY114" s="12">
        <v>42</v>
      </c>
      <c r="AZ114" t="s">
        <v>149</v>
      </c>
      <c r="BF114" s="12" t="s">
        <v>150</v>
      </c>
      <c r="BH114" s="12" t="s">
        <v>458</v>
      </c>
      <c r="BI114" s="12" t="s">
        <v>152</v>
      </c>
      <c r="BL114" s="12" t="s">
        <v>159</v>
      </c>
      <c r="BN114" s="12" t="s">
        <v>154</v>
      </c>
      <c r="BP114" s="12" t="s">
        <v>155</v>
      </c>
      <c r="BT114" s="12" t="s">
        <v>340</v>
      </c>
      <c r="BV114" s="12" t="s">
        <v>157</v>
      </c>
      <c r="BY114" s="12" t="s">
        <v>155</v>
      </c>
      <c r="CA114" s="12" t="s">
        <v>218</v>
      </c>
      <c r="CD114" s="12">
        <v>120</v>
      </c>
      <c r="CE114" t="s">
        <v>148</v>
      </c>
      <c r="CH114" s="12" t="s">
        <v>159</v>
      </c>
      <c r="CU114" s="12" t="s">
        <v>159</v>
      </c>
      <c r="DC114" s="12" t="b">
        <v>0</v>
      </c>
      <c r="DD114" s="12" t="s">
        <v>219</v>
      </c>
      <c r="DG114" s="12" t="s">
        <v>459</v>
      </c>
      <c r="DV114">
        <f t="shared" si="79"/>
        <v>1</v>
      </c>
    </row>
    <row r="115" spans="1:131" hidden="1" x14ac:dyDescent="0.25">
      <c r="A115" t="s">
        <v>472</v>
      </c>
      <c r="B115" t="s">
        <v>447</v>
      </c>
      <c r="C115" t="s">
        <v>448</v>
      </c>
      <c r="D115" t="s">
        <v>467</v>
      </c>
      <c r="E115" t="s">
        <v>468</v>
      </c>
      <c r="F115" t="s">
        <v>461</v>
      </c>
      <c r="G115" t="s">
        <v>165</v>
      </c>
      <c r="H115" t="s">
        <v>166</v>
      </c>
      <c r="I115" t="s">
        <v>165</v>
      </c>
      <c r="M115" t="s">
        <v>137</v>
      </c>
      <c r="N115" t="b">
        <v>0</v>
      </c>
      <c r="P115" s="12"/>
      <c r="Q115" s="12"/>
      <c r="R115" s="12"/>
      <c r="S115" t="s">
        <v>225</v>
      </c>
      <c r="T115" s="12" t="s">
        <v>168</v>
      </c>
      <c r="U115" s="12"/>
      <c r="V115" t="s">
        <v>225</v>
      </c>
      <c r="Z115" s="12">
        <v>120</v>
      </c>
      <c r="AA115" s="12" t="s">
        <v>169</v>
      </c>
      <c r="AB115" s="12"/>
      <c r="AC115" t="s">
        <v>225</v>
      </c>
      <c r="AD115" s="12"/>
      <c r="AE115" s="12" t="s">
        <v>205</v>
      </c>
      <c r="AF115" s="12" t="s">
        <v>263</v>
      </c>
      <c r="AG115" s="13" t="s">
        <v>172</v>
      </c>
      <c r="AH115" s="12" t="s">
        <v>173</v>
      </c>
      <c r="AI115" s="12" t="s">
        <v>145</v>
      </c>
      <c r="AJ115" s="12" t="s">
        <v>146</v>
      </c>
      <c r="AK115" s="12" t="s">
        <v>147</v>
      </c>
      <c r="AL115" s="12" t="s">
        <v>174</v>
      </c>
      <c r="AM115" s="12"/>
      <c r="AO115" s="12">
        <v>0</v>
      </c>
      <c r="AQ115" s="12" t="b">
        <v>0</v>
      </c>
      <c r="BR115" s="12" t="s">
        <v>155</v>
      </c>
      <c r="BV115" s="12" t="s">
        <v>179</v>
      </c>
      <c r="CF115" s="12" t="s">
        <v>187</v>
      </c>
      <c r="CS115" s="12" t="s">
        <v>181</v>
      </c>
      <c r="DA115" s="12">
        <v>1</v>
      </c>
      <c r="DB115" s="12">
        <v>19</v>
      </c>
      <c r="DN115" s="12" t="b">
        <v>0</v>
      </c>
      <c r="DV115">
        <f t="shared" si="79"/>
        <v>1</v>
      </c>
    </row>
    <row r="116" spans="1:131" hidden="1" x14ac:dyDescent="0.25">
      <c r="A116" t="s">
        <v>473</v>
      </c>
      <c r="B116" t="s">
        <v>447</v>
      </c>
      <c r="C116" t="s">
        <v>448</v>
      </c>
      <c r="D116" t="s">
        <v>467</v>
      </c>
      <c r="E116" t="s">
        <v>468</v>
      </c>
      <c r="F116" t="s">
        <v>463</v>
      </c>
      <c r="G116" t="s">
        <v>165</v>
      </c>
      <c r="H116" t="s">
        <v>166</v>
      </c>
      <c r="I116" t="s">
        <v>165</v>
      </c>
      <c r="M116" t="s">
        <v>137</v>
      </c>
      <c r="N116" t="b">
        <v>0</v>
      </c>
      <c r="P116" s="12"/>
      <c r="Q116" s="12"/>
      <c r="R116" s="12"/>
      <c r="S116" t="s">
        <v>225</v>
      </c>
      <c r="T116" s="12" t="s">
        <v>168</v>
      </c>
      <c r="U116" s="12"/>
      <c r="V116" t="s">
        <v>225</v>
      </c>
      <c r="Z116" s="12">
        <v>120</v>
      </c>
      <c r="AA116" s="12" t="s">
        <v>169</v>
      </c>
      <c r="AB116" s="12"/>
      <c r="AC116" t="s">
        <v>225</v>
      </c>
      <c r="AD116" s="12"/>
      <c r="AE116" s="12" t="s">
        <v>205</v>
      </c>
      <c r="AF116" s="12" t="s">
        <v>263</v>
      </c>
      <c r="AG116" s="13" t="s">
        <v>172</v>
      </c>
      <c r="AH116" s="12" t="s">
        <v>173</v>
      </c>
      <c r="AI116" s="12" t="s">
        <v>145</v>
      </c>
      <c r="AJ116" s="12" t="s">
        <v>146</v>
      </c>
      <c r="AK116" s="12" t="s">
        <v>147</v>
      </c>
      <c r="AL116" s="12" t="s">
        <v>174</v>
      </c>
      <c r="AM116" s="12"/>
      <c r="AO116" s="12">
        <v>0</v>
      </c>
      <c r="AQ116" s="12" t="b">
        <v>0</v>
      </c>
      <c r="BR116" s="12" t="s">
        <v>155</v>
      </c>
      <c r="BV116" s="12" t="s">
        <v>179</v>
      </c>
      <c r="CF116" s="12" t="s">
        <v>187</v>
      </c>
      <c r="CS116" s="12" t="s">
        <v>181</v>
      </c>
      <c r="DA116" s="12">
        <v>1</v>
      </c>
      <c r="DB116" s="12">
        <v>1</v>
      </c>
      <c r="DN116" s="12" t="b">
        <v>0</v>
      </c>
      <c r="DV116">
        <f t="shared" si="79"/>
        <v>0.5</v>
      </c>
    </row>
    <row r="117" spans="1:131" hidden="1" x14ac:dyDescent="0.25">
      <c r="A117" t="s">
        <v>474</v>
      </c>
      <c r="B117" t="s">
        <v>447</v>
      </c>
      <c r="C117" t="s">
        <v>448</v>
      </c>
      <c r="D117" t="s">
        <v>467</v>
      </c>
      <c r="E117" t="s">
        <v>468</v>
      </c>
      <c r="F117" t="s">
        <v>465</v>
      </c>
      <c r="G117" t="s">
        <v>165</v>
      </c>
      <c r="H117" t="s">
        <v>166</v>
      </c>
      <c r="I117" t="s">
        <v>165</v>
      </c>
      <c r="M117" t="s">
        <v>137</v>
      </c>
      <c r="N117" t="b">
        <v>0</v>
      </c>
      <c r="P117" s="12"/>
      <c r="Q117" s="12"/>
      <c r="R117" s="12"/>
      <c r="S117" t="s">
        <v>225</v>
      </c>
      <c r="T117" s="12" t="s">
        <v>168</v>
      </c>
      <c r="U117" s="12"/>
      <c r="V117" t="s">
        <v>225</v>
      </c>
      <c r="Z117" s="12">
        <v>120</v>
      </c>
      <c r="AA117" s="12" t="s">
        <v>169</v>
      </c>
      <c r="AB117" s="12"/>
      <c r="AC117" t="s">
        <v>225</v>
      </c>
      <c r="AD117" s="12"/>
      <c r="AE117" s="12" t="s">
        <v>205</v>
      </c>
      <c r="AF117" s="12" t="s">
        <v>263</v>
      </c>
      <c r="AG117" s="13" t="s">
        <v>172</v>
      </c>
      <c r="AH117" s="12" t="s">
        <v>173</v>
      </c>
      <c r="AI117" s="12" t="s">
        <v>145</v>
      </c>
      <c r="AJ117" s="12" t="s">
        <v>146</v>
      </c>
      <c r="AK117" s="12" t="s">
        <v>147</v>
      </c>
      <c r="AL117" s="12" t="s">
        <v>174</v>
      </c>
      <c r="AM117" s="12"/>
      <c r="AO117" s="12">
        <v>0</v>
      </c>
      <c r="AQ117" s="12" t="b">
        <v>0</v>
      </c>
      <c r="BR117" s="12" t="s">
        <v>155</v>
      </c>
      <c r="BV117" s="12" t="s">
        <v>179</v>
      </c>
      <c r="CF117" s="12" t="s">
        <v>187</v>
      </c>
      <c r="CS117" s="12" t="s">
        <v>181</v>
      </c>
      <c r="DA117" s="12">
        <v>1</v>
      </c>
      <c r="DB117" s="12">
        <v>1</v>
      </c>
      <c r="DN117" s="12" t="b">
        <v>0</v>
      </c>
      <c r="DV117">
        <f t="shared" si="79"/>
        <v>0.5</v>
      </c>
    </row>
    <row r="118" spans="1:131" hidden="1" x14ac:dyDescent="0.25">
      <c r="A118" t="s">
        <v>475</v>
      </c>
      <c r="B118" t="s">
        <v>447</v>
      </c>
      <c r="C118" t="s">
        <v>448</v>
      </c>
      <c r="D118" t="s">
        <v>476</v>
      </c>
      <c r="E118" t="s">
        <v>477</v>
      </c>
      <c r="F118" t="s">
        <v>478</v>
      </c>
      <c r="G118" t="s">
        <v>479</v>
      </c>
      <c r="H118" t="s">
        <v>480</v>
      </c>
      <c r="I118" t="s">
        <v>479</v>
      </c>
      <c r="M118" t="s">
        <v>137</v>
      </c>
      <c r="N118" t="b">
        <v>0</v>
      </c>
      <c r="AO118" s="12"/>
      <c r="AP118" t="s">
        <v>186</v>
      </c>
      <c r="BV118" s="12" t="s">
        <v>179</v>
      </c>
      <c r="CW118" s="12" t="s">
        <v>322</v>
      </c>
      <c r="DB118" s="12">
        <v>1</v>
      </c>
      <c r="DV118">
        <f t="shared" si="79"/>
        <v>0.5</v>
      </c>
    </row>
    <row r="119" spans="1:131" hidden="1" x14ac:dyDescent="0.25">
      <c r="A119" t="s">
        <v>481</v>
      </c>
      <c r="B119" t="s">
        <v>447</v>
      </c>
      <c r="C119" t="s">
        <v>448</v>
      </c>
      <c r="D119" t="s">
        <v>476</v>
      </c>
      <c r="E119" t="s">
        <v>477</v>
      </c>
      <c r="F119" t="s">
        <v>482</v>
      </c>
      <c r="G119" t="s">
        <v>135</v>
      </c>
      <c r="H119" t="s">
        <v>136</v>
      </c>
      <c r="I119" t="s">
        <v>135</v>
      </c>
      <c r="M119" t="s">
        <v>137</v>
      </c>
      <c r="N119" t="b">
        <v>0</v>
      </c>
      <c r="DB119" s="12"/>
      <c r="DV119">
        <f t="shared" si="79"/>
        <v>1</v>
      </c>
    </row>
    <row r="120" spans="1:131" hidden="1" x14ac:dyDescent="0.25">
      <c r="A120" t="s">
        <v>483</v>
      </c>
      <c r="B120" t="s">
        <v>447</v>
      </c>
      <c r="C120" t="s">
        <v>448</v>
      </c>
      <c r="D120" t="s">
        <v>476</v>
      </c>
      <c r="E120" t="s">
        <v>477</v>
      </c>
      <c r="F120" t="s">
        <v>484</v>
      </c>
      <c r="G120" t="s">
        <v>377</v>
      </c>
      <c r="H120" t="s">
        <v>385</v>
      </c>
      <c r="I120" t="s">
        <v>377</v>
      </c>
      <c r="M120" t="s">
        <v>137</v>
      </c>
      <c r="N120" t="b">
        <v>0</v>
      </c>
      <c r="P120" s="12"/>
      <c r="Q120" s="12"/>
      <c r="R120" s="12">
        <v>180</v>
      </c>
      <c r="S120" t="s">
        <v>148</v>
      </c>
      <c r="T120" t="s">
        <v>380</v>
      </c>
      <c r="U120" s="12">
        <v>300</v>
      </c>
      <c r="V120" t="s">
        <v>148</v>
      </c>
      <c r="Z120" s="12">
        <v>5</v>
      </c>
      <c r="AA120" s="12" t="s">
        <v>485</v>
      </c>
      <c r="AB120" s="12">
        <v>150</v>
      </c>
      <c r="AC120" t="s">
        <v>148</v>
      </c>
      <c r="AD120" s="12"/>
      <c r="AE120" s="12" t="s">
        <v>144</v>
      </c>
      <c r="AI120" s="12" t="s">
        <v>206</v>
      </c>
      <c r="AJ120" s="12" t="s">
        <v>207</v>
      </c>
      <c r="AK120" s="12" t="s">
        <v>208</v>
      </c>
      <c r="AM120" s="12">
        <v>300</v>
      </c>
      <c r="AN120" t="s">
        <v>175</v>
      </c>
      <c r="AO120" s="12">
        <v>5</v>
      </c>
      <c r="AP120" t="s">
        <v>176</v>
      </c>
      <c r="BR120" s="12" t="s">
        <v>155</v>
      </c>
      <c r="BV120" s="12" t="s">
        <v>179</v>
      </c>
      <c r="CS120" s="12" t="s">
        <v>181</v>
      </c>
      <c r="DA120" s="12">
        <v>1</v>
      </c>
      <c r="DB120" s="12">
        <v>2</v>
      </c>
      <c r="DN120" s="12" t="b">
        <v>0</v>
      </c>
      <c r="DQ120">
        <f t="shared" ref="DQ120:DQ121" si="86">IF(T120="Ball",10,0)</f>
        <v>0</v>
      </c>
      <c r="DR120" t="str">
        <f t="shared" ref="DR120:DR121" si="87">+T120</f>
        <v>Journal Bearing</v>
      </c>
      <c r="DV120">
        <f t="shared" si="79"/>
        <v>0.5</v>
      </c>
    </row>
    <row r="121" spans="1:131" hidden="1" x14ac:dyDescent="0.25">
      <c r="A121" t="s">
        <v>486</v>
      </c>
      <c r="B121" t="s">
        <v>447</v>
      </c>
      <c r="C121" t="s">
        <v>448</v>
      </c>
      <c r="D121" t="s">
        <v>476</v>
      </c>
      <c r="E121" t="s">
        <v>477</v>
      </c>
      <c r="F121" t="s">
        <v>487</v>
      </c>
      <c r="G121" t="s">
        <v>377</v>
      </c>
      <c r="H121" t="s">
        <v>385</v>
      </c>
      <c r="I121" t="s">
        <v>377</v>
      </c>
      <c r="L121" t="s">
        <v>488</v>
      </c>
      <c r="M121" t="s">
        <v>137</v>
      </c>
      <c r="N121" t="b">
        <v>0</v>
      </c>
      <c r="P121" s="12"/>
      <c r="Q121" s="12"/>
      <c r="R121" s="12">
        <v>180</v>
      </c>
      <c r="S121" t="s">
        <v>148</v>
      </c>
      <c r="T121" t="s">
        <v>380</v>
      </c>
      <c r="U121" s="12">
        <v>300</v>
      </c>
      <c r="V121" t="s">
        <v>148</v>
      </c>
      <c r="Z121" s="12">
        <v>5</v>
      </c>
      <c r="AA121" s="12" t="s">
        <v>169</v>
      </c>
      <c r="AB121" s="12">
        <v>150</v>
      </c>
      <c r="AC121" t="s">
        <v>148</v>
      </c>
      <c r="AD121" s="12"/>
      <c r="AE121" s="12" t="s">
        <v>144</v>
      </c>
      <c r="AI121" s="12" t="s">
        <v>206</v>
      </c>
      <c r="AJ121" s="12" t="s">
        <v>207</v>
      </c>
      <c r="AK121" s="12" t="s">
        <v>208</v>
      </c>
      <c r="AM121" s="12">
        <v>300</v>
      </c>
      <c r="AN121" t="s">
        <v>175</v>
      </c>
      <c r="AO121" s="12">
        <v>5</v>
      </c>
      <c r="AP121" t="s">
        <v>176</v>
      </c>
      <c r="BR121" s="12" t="s">
        <v>155</v>
      </c>
      <c r="BV121" s="12" t="s">
        <v>179</v>
      </c>
      <c r="CS121" s="12" t="s">
        <v>181</v>
      </c>
      <c r="DA121" s="12">
        <v>1</v>
      </c>
      <c r="DB121" s="12">
        <v>3</v>
      </c>
      <c r="DF121" t="s">
        <v>421</v>
      </c>
      <c r="DN121" s="12" t="b">
        <v>0</v>
      </c>
      <c r="DQ121">
        <f t="shared" si="86"/>
        <v>0</v>
      </c>
      <c r="DR121" t="str">
        <f t="shared" si="87"/>
        <v>Journal Bearing</v>
      </c>
      <c r="DV121">
        <f t="shared" si="79"/>
        <v>1</v>
      </c>
    </row>
    <row r="122" spans="1:131" hidden="1" x14ac:dyDescent="0.25">
      <c r="A122" t="s">
        <v>489</v>
      </c>
      <c r="B122" t="s">
        <v>447</v>
      </c>
      <c r="C122" t="s">
        <v>448</v>
      </c>
      <c r="D122" t="s">
        <v>476</v>
      </c>
      <c r="E122" t="s">
        <v>477</v>
      </c>
      <c r="F122" t="s">
        <v>490</v>
      </c>
      <c r="G122" t="s">
        <v>140</v>
      </c>
      <c r="H122" t="s">
        <v>141</v>
      </c>
      <c r="I122" t="s">
        <v>142</v>
      </c>
      <c r="M122" t="s">
        <v>137</v>
      </c>
      <c r="N122" t="b">
        <v>0</v>
      </c>
      <c r="Y122" s="12"/>
      <c r="AE122" s="12" t="s">
        <v>144</v>
      </c>
      <c r="AI122" s="12" t="s">
        <v>145</v>
      </c>
      <c r="AJ122" s="12" t="s">
        <v>146</v>
      </c>
      <c r="AK122" s="12" t="s">
        <v>147</v>
      </c>
      <c r="AR122" s="12" t="str">
        <f>HYPERLINK("https://www.google.com/search?q=Ralpe RTCH-355","Ralpe RTCH-355")</f>
        <v>Ralpe RTCH-355</v>
      </c>
      <c r="AS122">
        <v>800</v>
      </c>
      <c r="AT122" t="s">
        <v>148</v>
      </c>
      <c r="AU122">
        <v>500</v>
      </c>
      <c r="AV122" t="s">
        <v>148</v>
      </c>
      <c r="AW122">
        <v>1400</v>
      </c>
      <c r="AX122" t="s">
        <v>148</v>
      </c>
      <c r="AY122" s="12">
        <v>160</v>
      </c>
      <c r="AZ122" t="s">
        <v>149</v>
      </c>
      <c r="BF122" s="12" t="s">
        <v>150</v>
      </c>
      <c r="BH122" s="12" t="s">
        <v>151</v>
      </c>
      <c r="BI122" s="12" t="s">
        <v>152</v>
      </c>
      <c r="BL122" s="12" t="s">
        <v>153</v>
      </c>
      <c r="BN122" s="12" t="s">
        <v>154</v>
      </c>
      <c r="BP122" s="12" t="s">
        <v>155</v>
      </c>
      <c r="BT122" s="12" t="s">
        <v>156</v>
      </c>
      <c r="BV122" s="12" t="s">
        <v>157</v>
      </c>
      <c r="BY122" s="12" t="s">
        <v>155</v>
      </c>
      <c r="CA122" s="12" t="s">
        <v>218</v>
      </c>
      <c r="CD122" s="12">
        <v>320</v>
      </c>
      <c r="CE122" t="s">
        <v>148</v>
      </c>
      <c r="CH122" s="12" t="s">
        <v>159</v>
      </c>
      <c r="CU122" s="12" t="s">
        <v>159</v>
      </c>
      <c r="DC122" s="12" t="b">
        <v>1</v>
      </c>
      <c r="DD122" s="12" t="s">
        <v>219</v>
      </c>
      <c r="DG122" s="12" t="s">
        <v>161</v>
      </c>
      <c r="DV122">
        <f t="shared" si="79"/>
        <v>1</v>
      </c>
    </row>
    <row r="123" spans="1:131" hidden="1" x14ac:dyDescent="0.25">
      <c r="A123" t="s">
        <v>491</v>
      </c>
      <c r="B123" t="s">
        <v>447</v>
      </c>
      <c r="C123" t="s">
        <v>448</v>
      </c>
      <c r="D123" t="s">
        <v>476</v>
      </c>
      <c r="E123" t="s">
        <v>477</v>
      </c>
      <c r="F123" t="s">
        <v>492</v>
      </c>
      <c r="G123" t="s">
        <v>165</v>
      </c>
      <c r="H123" t="s">
        <v>166</v>
      </c>
      <c r="I123" t="s">
        <v>165</v>
      </c>
      <c r="L123" t="s">
        <v>224</v>
      </c>
      <c r="M123" t="s">
        <v>137</v>
      </c>
      <c r="N123" t="b">
        <v>0</v>
      </c>
      <c r="P123" s="12"/>
      <c r="Q123" s="12"/>
      <c r="R123" s="12"/>
      <c r="S123" t="s">
        <v>225</v>
      </c>
      <c r="T123" s="12"/>
      <c r="U123" s="12"/>
      <c r="V123" t="s">
        <v>225</v>
      </c>
      <c r="Z123" s="12">
        <v>120</v>
      </c>
      <c r="AA123" s="12" t="s">
        <v>169</v>
      </c>
      <c r="AB123" s="12"/>
      <c r="AC123" t="s">
        <v>225</v>
      </c>
      <c r="AD123" s="12"/>
      <c r="AE123" s="12" t="s">
        <v>144</v>
      </c>
      <c r="AF123" s="12" t="s">
        <v>171</v>
      </c>
      <c r="AG123" s="13" t="s">
        <v>172</v>
      </c>
      <c r="AH123" s="12" t="s">
        <v>173</v>
      </c>
      <c r="AI123" s="12" t="s">
        <v>145</v>
      </c>
      <c r="AJ123" s="12" t="s">
        <v>146</v>
      </c>
      <c r="AK123" s="12" t="s">
        <v>226</v>
      </c>
      <c r="AL123" s="12" t="s">
        <v>174</v>
      </c>
      <c r="AM123" s="12"/>
      <c r="AO123" s="12">
        <v>0</v>
      </c>
      <c r="AQ123" s="12" t="b">
        <v>0</v>
      </c>
      <c r="BR123" s="12" t="s">
        <v>178</v>
      </c>
      <c r="BV123" s="12" t="s">
        <v>179</v>
      </c>
      <c r="CF123" s="12" t="s">
        <v>187</v>
      </c>
      <c r="CS123" s="12" t="s">
        <v>181</v>
      </c>
      <c r="DA123" s="12">
        <v>1</v>
      </c>
      <c r="DB123" s="12">
        <v>4</v>
      </c>
      <c r="DN123" s="12" t="b">
        <v>0</v>
      </c>
      <c r="DV123">
        <f t="shared" si="79"/>
        <v>1</v>
      </c>
    </row>
    <row r="124" spans="1:131" hidden="1" x14ac:dyDescent="0.25">
      <c r="A124" t="s">
        <v>493</v>
      </c>
      <c r="B124" t="s">
        <v>447</v>
      </c>
      <c r="C124" t="s">
        <v>448</v>
      </c>
      <c r="D124" t="s">
        <v>476</v>
      </c>
      <c r="E124" t="s">
        <v>477</v>
      </c>
      <c r="F124" t="s">
        <v>164</v>
      </c>
      <c r="G124" t="s">
        <v>165</v>
      </c>
      <c r="H124" t="s">
        <v>166</v>
      </c>
      <c r="I124" t="s">
        <v>165</v>
      </c>
      <c r="L124" t="s">
        <v>494</v>
      </c>
      <c r="M124" t="s">
        <v>137</v>
      </c>
      <c r="N124" t="b">
        <v>0</v>
      </c>
      <c r="P124" s="12" t="s">
        <v>167</v>
      </c>
      <c r="Q124" s="12" t="s">
        <v>167</v>
      </c>
      <c r="R124" s="12">
        <v>160</v>
      </c>
      <c r="S124" t="s">
        <v>148</v>
      </c>
      <c r="T124" s="12" t="s">
        <v>168</v>
      </c>
      <c r="U124" s="12">
        <v>60</v>
      </c>
      <c r="V124" t="s">
        <v>148</v>
      </c>
      <c r="Z124" s="12">
        <v>120</v>
      </c>
      <c r="AA124" s="12" t="s">
        <v>169</v>
      </c>
      <c r="AB124" s="12">
        <v>160</v>
      </c>
      <c r="AC124" t="s">
        <v>148</v>
      </c>
      <c r="AD124" s="12" t="s">
        <v>170</v>
      </c>
      <c r="AE124" s="12" t="s">
        <v>144</v>
      </c>
      <c r="AF124" s="12" t="s">
        <v>171</v>
      </c>
      <c r="AG124" s="13" t="s">
        <v>172</v>
      </c>
      <c r="AH124" s="12" t="s">
        <v>173</v>
      </c>
      <c r="AI124" s="12" t="s">
        <v>145</v>
      </c>
      <c r="AJ124" s="12" t="s">
        <v>146</v>
      </c>
      <c r="AK124" s="12" t="s">
        <v>226</v>
      </c>
      <c r="AL124" s="12" t="s">
        <v>174</v>
      </c>
      <c r="AM124" s="12">
        <v>48</v>
      </c>
      <c r="AN124" t="s">
        <v>175</v>
      </c>
      <c r="AO124" s="12">
        <v>0</v>
      </c>
      <c r="AQ124" s="12" t="b">
        <v>0</v>
      </c>
      <c r="AR124" s="14" t="s">
        <v>177</v>
      </c>
      <c r="BR124" s="12" t="s">
        <v>155</v>
      </c>
      <c r="BV124" s="12" t="s">
        <v>179</v>
      </c>
      <c r="CF124" s="12" t="s">
        <v>180</v>
      </c>
      <c r="CS124" s="12" t="s">
        <v>181</v>
      </c>
      <c r="DA124" s="12">
        <v>1</v>
      </c>
      <c r="DB124" s="12">
        <v>2</v>
      </c>
      <c r="DF124" t="s">
        <v>178</v>
      </c>
      <c r="DN124" s="12" t="b">
        <v>0</v>
      </c>
      <c r="DQ124">
        <f t="shared" ref="DQ124:DQ125" si="88">IF(T124="Tapered/Spherical",1,0)</f>
        <v>1</v>
      </c>
      <c r="DR124">
        <f t="shared" ref="DR124:DR125" si="89">IF(AE124="125°F (51.7°C) - 150°F (65.6°C)",1,0.5)</f>
        <v>1</v>
      </c>
      <c r="DS124" cm="1">
        <f t="array" ref="DS124">IF(AF124="&lt;0.2 ips",1,O.5)</f>
        <v>1</v>
      </c>
      <c r="DT124">
        <v>0.2</v>
      </c>
      <c r="DU124">
        <v>0.7</v>
      </c>
      <c r="DV124">
        <v>1</v>
      </c>
      <c r="DW124">
        <v>0.9</v>
      </c>
      <c r="DX124">
        <f t="shared" ref="DX124:DX125" si="90">PRODUCT(DQ124:DV124)</f>
        <v>0.13999999999999999</v>
      </c>
      <c r="DY124">
        <f t="shared" ref="DY124:DY125" si="91">+DX124*((14000000/(Z124*AB124^0.5))-4*AB124)</f>
        <v>1201.6633779020881</v>
      </c>
      <c r="DZ124">
        <f t="shared" ref="DZ124:DZ125" si="92">+DY124/8760</f>
        <v>0.1371761846920192</v>
      </c>
      <c r="EA124">
        <f t="shared" ref="EA124:EA125" si="93">ROUND(+DZ124*12,1)</f>
        <v>1.6</v>
      </c>
    </row>
    <row r="125" spans="1:131" hidden="1" x14ac:dyDescent="0.25">
      <c r="A125" t="s">
        <v>495</v>
      </c>
      <c r="B125" t="s">
        <v>447</v>
      </c>
      <c r="C125" t="s">
        <v>448</v>
      </c>
      <c r="D125" t="s">
        <v>476</v>
      </c>
      <c r="E125" t="s">
        <v>477</v>
      </c>
      <c r="F125" t="s">
        <v>223</v>
      </c>
      <c r="G125" t="s">
        <v>165</v>
      </c>
      <c r="H125" t="s">
        <v>166</v>
      </c>
      <c r="I125" t="s">
        <v>165</v>
      </c>
      <c r="L125" t="s">
        <v>224</v>
      </c>
      <c r="M125" t="s">
        <v>137</v>
      </c>
      <c r="N125" t="b">
        <v>0</v>
      </c>
      <c r="P125" s="12" t="s">
        <v>185</v>
      </c>
      <c r="Q125" s="12" t="s">
        <v>185</v>
      </c>
      <c r="R125" s="12">
        <v>210</v>
      </c>
      <c r="S125" t="s">
        <v>148</v>
      </c>
      <c r="T125" s="12" t="s">
        <v>168</v>
      </c>
      <c r="U125" s="12">
        <v>53</v>
      </c>
      <c r="V125" t="s">
        <v>148</v>
      </c>
      <c r="Z125" s="12">
        <v>120</v>
      </c>
      <c r="AA125" s="12" t="s">
        <v>169</v>
      </c>
      <c r="AB125" s="12">
        <v>140</v>
      </c>
      <c r="AC125" t="s">
        <v>148</v>
      </c>
      <c r="AD125" s="12" t="s">
        <v>170</v>
      </c>
      <c r="AE125" s="12" t="s">
        <v>144</v>
      </c>
      <c r="AF125" s="12" t="s">
        <v>171</v>
      </c>
      <c r="AG125" s="13" t="s">
        <v>172</v>
      </c>
      <c r="AH125" s="12" t="s">
        <v>173</v>
      </c>
      <c r="AI125" s="12" t="s">
        <v>145</v>
      </c>
      <c r="AJ125" s="12" t="s">
        <v>146</v>
      </c>
      <c r="AK125" s="12" t="s">
        <v>226</v>
      </c>
      <c r="AL125" s="12" t="s">
        <v>174</v>
      </c>
      <c r="AM125" s="12">
        <v>56</v>
      </c>
      <c r="AN125" t="s">
        <v>175</v>
      </c>
      <c r="AO125" s="12">
        <v>0</v>
      </c>
      <c r="AQ125" s="12" t="b">
        <v>0</v>
      </c>
      <c r="AR125" s="14" t="s">
        <v>177</v>
      </c>
      <c r="BR125" s="12" t="s">
        <v>178</v>
      </c>
      <c r="BV125" s="12" t="s">
        <v>179</v>
      </c>
      <c r="CF125" s="12" t="s">
        <v>187</v>
      </c>
      <c r="CS125" s="12" t="s">
        <v>181</v>
      </c>
      <c r="DA125" s="12">
        <v>1</v>
      </c>
      <c r="DB125" s="12">
        <v>2</v>
      </c>
      <c r="DN125" s="12" t="b">
        <v>0</v>
      </c>
      <c r="DQ125">
        <f t="shared" si="88"/>
        <v>1</v>
      </c>
      <c r="DR125">
        <f t="shared" si="89"/>
        <v>1</v>
      </c>
      <c r="DS125" cm="1">
        <f t="array" ref="DS125">IF(AF125="&lt;0.2 ips",1,O.5)</f>
        <v>1</v>
      </c>
      <c r="DT125">
        <v>0.2</v>
      </c>
      <c r="DU125">
        <v>0.7</v>
      </c>
      <c r="DV125">
        <v>1</v>
      </c>
      <c r="DW125">
        <v>0.9</v>
      </c>
      <c r="DX125">
        <f t="shared" si="90"/>
        <v>0.13999999999999999</v>
      </c>
      <c r="DY125">
        <f t="shared" si="91"/>
        <v>1302.018616056577</v>
      </c>
      <c r="DZ125">
        <f t="shared" si="92"/>
        <v>0.14863226210691519</v>
      </c>
      <c r="EA125">
        <f t="shared" si="93"/>
        <v>1.8</v>
      </c>
    </row>
    <row r="126" spans="1:131" hidden="1" x14ac:dyDescent="0.25">
      <c r="A126" t="s">
        <v>496</v>
      </c>
      <c r="B126" t="s">
        <v>447</v>
      </c>
      <c r="C126" t="s">
        <v>448</v>
      </c>
      <c r="D126" t="s">
        <v>497</v>
      </c>
      <c r="E126" t="s">
        <v>498</v>
      </c>
      <c r="F126" t="s">
        <v>478</v>
      </c>
      <c r="G126" t="s">
        <v>479</v>
      </c>
      <c r="H126" t="s">
        <v>480</v>
      </c>
      <c r="I126" t="s">
        <v>479</v>
      </c>
      <c r="M126" t="s">
        <v>137</v>
      </c>
      <c r="N126" t="b">
        <v>0</v>
      </c>
      <c r="AO126" s="12"/>
      <c r="AP126" t="s">
        <v>186</v>
      </c>
      <c r="BV126" s="12" t="s">
        <v>179</v>
      </c>
      <c r="CW126" s="12" t="s">
        <v>322</v>
      </c>
      <c r="DB126" s="12">
        <v>1</v>
      </c>
      <c r="DV126">
        <f t="shared" ref="DV126:DV131" si="94">IF(AA128="Horizontal",1,0.5)</f>
        <v>0.5</v>
      </c>
    </row>
    <row r="127" spans="1:131" hidden="1" x14ac:dyDescent="0.25">
      <c r="A127" t="s">
        <v>499</v>
      </c>
      <c r="B127" t="s">
        <v>447</v>
      </c>
      <c r="C127" t="s">
        <v>448</v>
      </c>
      <c r="D127" t="s">
        <v>497</v>
      </c>
      <c r="E127" t="s">
        <v>498</v>
      </c>
      <c r="F127" t="s">
        <v>482</v>
      </c>
      <c r="G127" t="s">
        <v>135</v>
      </c>
      <c r="H127" t="s">
        <v>136</v>
      </c>
      <c r="I127" t="s">
        <v>135</v>
      </c>
      <c r="M127" t="s">
        <v>137</v>
      </c>
      <c r="N127" t="b">
        <v>0</v>
      </c>
      <c r="DB127" s="12"/>
      <c r="DV127">
        <f t="shared" si="94"/>
        <v>1</v>
      </c>
    </row>
    <row r="128" spans="1:131" hidden="1" x14ac:dyDescent="0.25">
      <c r="A128" t="s">
        <v>500</v>
      </c>
      <c r="B128" t="s">
        <v>447</v>
      </c>
      <c r="C128" t="s">
        <v>448</v>
      </c>
      <c r="D128" t="s">
        <v>497</v>
      </c>
      <c r="E128" t="s">
        <v>498</v>
      </c>
      <c r="F128" t="s">
        <v>484</v>
      </c>
      <c r="G128" t="s">
        <v>377</v>
      </c>
      <c r="H128" t="s">
        <v>385</v>
      </c>
      <c r="I128" t="s">
        <v>377</v>
      </c>
      <c r="M128" t="s">
        <v>137</v>
      </c>
      <c r="N128" t="b">
        <v>0</v>
      </c>
      <c r="P128" s="12"/>
      <c r="Q128" s="12"/>
      <c r="R128" s="12">
        <v>180</v>
      </c>
      <c r="S128" t="s">
        <v>148</v>
      </c>
      <c r="T128" t="s">
        <v>380</v>
      </c>
      <c r="U128" s="12">
        <v>300</v>
      </c>
      <c r="V128" t="s">
        <v>148</v>
      </c>
      <c r="Z128" s="12">
        <v>5</v>
      </c>
      <c r="AA128" s="12" t="s">
        <v>485</v>
      </c>
      <c r="AB128" s="12">
        <v>150</v>
      </c>
      <c r="AC128" t="s">
        <v>148</v>
      </c>
      <c r="AD128" s="12"/>
      <c r="AE128" s="12" t="s">
        <v>144</v>
      </c>
      <c r="AI128" s="12" t="s">
        <v>206</v>
      </c>
      <c r="AJ128" s="12" t="s">
        <v>207</v>
      </c>
      <c r="AK128" s="12" t="s">
        <v>208</v>
      </c>
      <c r="AM128" s="12">
        <v>300</v>
      </c>
      <c r="AN128" t="s">
        <v>175</v>
      </c>
      <c r="AO128" s="12">
        <v>5</v>
      </c>
      <c r="AP128" t="s">
        <v>176</v>
      </c>
      <c r="BR128" s="12" t="s">
        <v>155</v>
      </c>
      <c r="BV128" s="12" t="s">
        <v>179</v>
      </c>
      <c r="CS128" s="12" t="s">
        <v>181</v>
      </c>
      <c r="DA128" s="12">
        <v>1</v>
      </c>
      <c r="DB128" s="12">
        <v>2</v>
      </c>
      <c r="DN128" s="12" t="b">
        <v>0</v>
      </c>
      <c r="DQ128">
        <f t="shared" ref="DQ128:DQ129" si="95">IF(T128="Ball",10,0)</f>
        <v>0</v>
      </c>
      <c r="DR128" t="str">
        <f t="shared" ref="DR128:DR129" si="96">+T128</f>
        <v>Journal Bearing</v>
      </c>
      <c r="DV128">
        <f t="shared" si="94"/>
        <v>0.5</v>
      </c>
    </row>
    <row r="129" spans="1:131" hidden="1" x14ac:dyDescent="0.25">
      <c r="A129" t="s">
        <v>501</v>
      </c>
      <c r="B129" t="s">
        <v>447</v>
      </c>
      <c r="C129" t="s">
        <v>448</v>
      </c>
      <c r="D129" t="s">
        <v>497</v>
      </c>
      <c r="E129" t="s">
        <v>498</v>
      </c>
      <c r="F129" t="s">
        <v>487</v>
      </c>
      <c r="G129" t="s">
        <v>377</v>
      </c>
      <c r="H129" t="s">
        <v>385</v>
      </c>
      <c r="I129" t="s">
        <v>377</v>
      </c>
      <c r="L129" t="s">
        <v>488</v>
      </c>
      <c r="M129" t="s">
        <v>137</v>
      </c>
      <c r="N129" t="b">
        <v>0</v>
      </c>
      <c r="P129" s="12"/>
      <c r="Q129" s="12"/>
      <c r="R129" s="12">
        <v>180</v>
      </c>
      <c r="S129" t="s">
        <v>148</v>
      </c>
      <c r="T129" t="s">
        <v>380</v>
      </c>
      <c r="U129" s="12">
        <v>300</v>
      </c>
      <c r="V129" t="s">
        <v>148</v>
      </c>
      <c r="Z129" s="12">
        <v>5</v>
      </c>
      <c r="AA129" s="12" t="s">
        <v>169</v>
      </c>
      <c r="AB129" s="12">
        <v>150</v>
      </c>
      <c r="AC129" t="s">
        <v>148</v>
      </c>
      <c r="AD129" s="12"/>
      <c r="AE129" s="12" t="s">
        <v>144</v>
      </c>
      <c r="AI129" s="12" t="s">
        <v>206</v>
      </c>
      <c r="AJ129" s="12" t="s">
        <v>207</v>
      </c>
      <c r="AK129" s="12" t="s">
        <v>208</v>
      </c>
      <c r="AM129" s="12">
        <v>300</v>
      </c>
      <c r="AN129" t="s">
        <v>175</v>
      </c>
      <c r="AO129" s="12">
        <v>5</v>
      </c>
      <c r="AP129" t="s">
        <v>176</v>
      </c>
      <c r="BR129" s="12" t="s">
        <v>155</v>
      </c>
      <c r="BV129" s="12" t="s">
        <v>179</v>
      </c>
      <c r="CS129" s="12" t="s">
        <v>181</v>
      </c>
      <c r="DA129" s="12">
        <v>1</v>
      </c>
      <c r="DB129" s="12">
        <v>3</v>
      </c>
      <c r="DF129" t="s">
        <v>421</v>
      </c>
      <c r="DN129" s="12" t="b">
        <v>0</v>
      </c>
      <c r="DQ129">
        <f t="shared" si="95"/>
        <v>0</v>
      </c>
      <c r="DR129" t="str">
        <f t="shared" si="96"/>
        <v>Journal Bearing</v>
      </c>
      <c r="DV129">
        <f t="shared" si="94"/>
        <v>1</v>
      </c>
    </row>
    <row r="130" spans="1:131" hidden="1" x14ac:dyDescent="0.25">
      <c r="A130" t="s">
        <v>502</v>
      </c>
      <c r="B130" t="s">
        <v>447</v>
      </c>
      <c r="C130" t="s">
        <v>448</v>
      </c>
      <c r="D130" t="s">
        <v>497</v>
      </c>
      <c r="E130" t="s">
        <v>498</v>
      </c>
      <c r="F130" t="s">
        <v>490</v>
      </c>
      <c r="G130" t="s">
        <v>140</v>
      </c>
      <c r="H130" t="s">
        <v>141</v>
      </c>
      <c r="I130" t="s">
        <v>142</v>
      </c>
      <c r="M130" t="s">
        <v>137</v>
      </c>
      <c r="N130" t="b">
        <v>0</v>
      </c>
      <c r="Y130" s="12"/>
      <c r="AE130" s="12" t="s">
        <v>144</v>
      </c>
      <c r="AI130" s="12" t="s">
        <v>145</v>
      </c>
      <c r="AJ130" s="12" t="s">
        <v>146</v>
      </c>
      <c r="AK130" s="12" t="s">
        <v>147</v>
      </c>
      <c r="AR130" s="12" t="str">
        <f>HYPERLINK("https://www.google.com/search?q=Ralpe RTCH-355","Ralpe RTCH-355")</f>
        <v>Ralpe RTCH-355</v>
      </c>
      <c r="AS130">
        <v>800</v>
      </c>
      <c r="AT130" t="s">
        <v>148</v>
      </c>
      <c r="AU130">
        <v>500</v>
      </c>
      <c r="AV130" t="s">
        <v>148</v>
      </c>
      <c r="AW130">
        <v>1400</v>
      </c>
      <c r="AX130" t="s">
        <v>148</v>
      </c>
      <c r="AY130" s="12">
        <v>160</v>
      </c>
      <c r="AZ130" t="s">
        <v>149</v>
      </c>
      <c r="BF130" s="12" t="s">
        <v>150</v>
      </c>
      <c r="BH130" s="12" t="s">
        <v>151</v>
      </c>
      <c r="BI130" s="12" t="s">
        <v>152</v>
      </c>
      <c r="BL130" s="12" t="s">
        <v>153</v>
      </c>
      <c r="BN130" s="12" t="s">
        <v>154</v>
      </c>
      <c r="BP130" s="12" t="s">
        <v>155</v>
      </c>
      <c r="BT130" s="12" t="s">
        <v>156</v>
      </c>
      <c r="BV130" s="12" t="s">
        <v>157</v>
      </c>
      <c r="BY130" s="12" t="s">
        <v>155</v>
      </c>
      <c r="CA130" s="12" t="s">
        <v>218</v>
      </c>
      <c r="CD130" s="12">
        <v>320</v>
      </c>
      <c r="CE130" t="s">
        <v>148</v>
      </c>
      <c r="CH130" s="12" t="s">
        <v>159</v>
      </c>
      <c r="CU130" s="12" t="s">
        <v>159</v>
      </c>
      <c r="DC130" s="12" t="b">
        <v>1</v>
      </c>
      <c r="DD130" s="12" t="s">
        <v>219</v>
      </c>
      <c r="DG130" s="12" t="s">
        <v>161</v>
      </c>
      <c r="DV130">
        <f t="shared" si="94"/>
        <v>1</v>
      </c>
    </row>
    <row r="131" spans="1:131" hidden="1" x14ac:dyDescent="0.25">
      <c r="A131" t="s">
        <v>503</v>
      </c>
      <c r="B131" t="s">
        <v>447</v>
      </c>
      <c r="C131" t="s">
        <v>448</v>
      </c>
      <c r="D131" t="s">
        <v>497</v>
      </c>
      <c r="E131" t="s">
        <v>498</v>
      </c>
      <c r="F131" t="s">
        <v>492</v>
      </c>
      <c r="G131" t="s">
        <v>165</v>
      </c>
      <c r="H131" t="s">
        <v>166</v>
      </c>
      <c r="I131" t="s">
        <v>165</v>
      </c>
      <c r="L131" t="s">
        <v>224</v>
      </c>
      <c r="M131" t="s">
        <v>137</v>
      </c>
      <c r="N131" t="b">
        <v>0</v>
      </c>
      <c r="P131" s="12"/>
      <c r="Q131" s="12"/>
      <c r="R131" s="12"/>
      <c r="S131" t="s">
        <v>225</v>
      </c>
      <c r="T131" s="12"/>
      <c r="U131" s="12"/>
      <c r="V131" t="s">
        <v>225</v>
      </c>
      <c r="Z131" s="12">
        <v>120</v>
      </c>
      <c r="AA131" s="12" t="s">
        <v>169</v>
      </c>
      <c r="AB131" s="12"/>
      <c r="AC131" t="s">
        <v>225</v>
      </c>
      <c r="AD131" s="12"/>
      <c r="AE131" s="12" t="s">
        <v>144</v>
      </c>
      <c r="AF131" s="12" t="s">
        <v>171</v>
      </c>
      <c r="AG131" s="13" t="s">
        <v>172</v>
      </c>
      <c r="AH131" s="12" t="s">
        <v>173</v>
      </c>
      <c r="AI131" s="12" t="s">
        <v>145</v>
      </c>
      <c r="AJ131" s="12" t="s">
        <v>146</v>
      </c>
      <c r="AK131" s="12" t="s">
        <v>226</v>
      </c>
      <c r="AL131" s="12" t="s">
        <v>174</v>
      </c>
      <c r="AM131" s="12"/>
      <c r="AO131" s="12">
        <v>0</v>
      </c>
      <c r="AQ131" s="12" t="b">
        <v>0</v>
      </c>
      <c r="BR131" s="12" t="s">
        <v>178</v>
      </c>
      <c r="BV131" s="12" t="s">
        <v>179</v>
      </c>
      <c r="CF131" s="12" t="s">
        <v>187</v>
      </c>
      <c r="CS131" s="12" t="s">
        <v>181</v>
      </c>
      <c r="DA131" s="12">
        <v>1</v>
      </c>
      <c r="DB131" s="12">
        <v>4</v>
      </c>
      <c r="DN131" s="12" t="b">
        <v>0</v>
      </c>
      <c r="DV131">
        <f t="shared" si="94"/>
        <v>1</v>
      </c>
    </row>
    <row r="132" spans="1:131" hidden="1" x14ac:dyDescent="0.25">
      <c r="A132" t="s">
        <v>504</v>
      </c>
      <c r="B132" t="s">
        <v>447</v>
      </c>
      <c r="C132" t="s">
        <v>448</v>
      </c>
      <c r="D132" t="s">
        <v>497</v>
      </c>
      <c r="E132" t="s">
        <v>498</v>
      </c>
      <c r="F132" t="s">
        <v>164</v>
      </c>
      <c r="G132" t="s">
        <v>165</v>
      </c>
      <c r="H132" t="s">
        <v>166</v>
      </c>
      <c r="I132" t="s">
        <v>165</v>
      </c>
      <c r="L132" t="s">
        <v>494</v>
      </c>
      <c r="M132" t="s">
        <v>137</v>
      </c>
      <c r="N132" t="b">
        <v>0</v>
      </c>
      <c r="P132" s="12" t="s">
        <v>167</v>
      </c>
      <c r="Q132" s="12" t="s">
        <v>167</v>
      </c>
      <c r="R132" s="12">
        <v>160</v>
      </c>
      <c r="S132" t="s">
        <v>148</v>
      </c>
      <c r="T132" s="12" t="s">
        <v>168</v>
      </c>
      <c r="U132" s="12">
        <v>60</v>
      </c>
      <c r="V132" t="s">
        <v>148</v>
      </c>
      <c r="Z132" s="12">
        <v>120</v>
      </c>
      <c r="AA132" s="12" t="s">
        <v>169</v>
      </c>
      <c r="AB132" s="12">
        <v>160</v>
      </c>
      <c r="AC132" t="s">
        <v>148</v>
      </c>
      <c r="AD132" s="12" t="s">
        <v>170</v>
      </c>
      <c r="AE132" s="12" t="s">
        <v>144</v>
      </c>
      <c r="AF132" s="12" t="s">
        <v>171</v>
      </c>
      <c r="AG132" s="13" t="s">
        <v>172</v>
      </c>
      <c r="AH132" s="12" t="s">
        <v>173</v>
      </c>
      <c r="AI132" s="12" t="s">
        <v>145</v>
      </c>
      <c r="AJ132" s="12" t="s">
        <v>146</v>
      </c>
      <c r="AK132" s="12" t="s">
        <v>226</v>
      </c>
      <c r="AL132" s="12" t="s">
        <v>174</v>
      </c>
      <c r="AM132" s="12">
        <v>48</v>
      </c>
      <c r="AN132" t="s">
        <v>175</v>
      </c>
      <c r="AO132" s="12">
        <v>0</v>
      </c>
      <c r="AQ132" s="12" t="b">
        <v>0</v>
      </c>
      <c r="AR132" s="14" t="s">
        <v>177</v>
      </c>
      <c r="BR132" s="12" t="s">
        <v>155</v>
      </c>
      <c r="BV132" s="12" t="s">
        <v>179</v>
      </c>
      <c r="CF132" s="12" t="s">
        <v>180</v>
      </c>
      <c r="CS132" s="12" t="s">
        <v>181</v>
      </c>
      <c r="DA132" s="12">
        <v>1</v>
      </c>
      <c r="DB132" s="12">
        <v>2</v>
      </c>
      <c r="DF132" t="s">
        <v>178</v>
      </c>
      <c r="DN132" s="12" t="b">
        <v>0</v>
      </c>
      <c r="DQ132">
        <f t="shared" ref="DQ132:DQ133" si="97">IF(T132="Tapered/Spherical",1,0)</f>
        <v>1</v>
      </c>
      <c r="DR132">
        <f t="shared" ref="DR132:DR133" si="98">IF(AE132="125°F (51.7°C) - 150°F (65.6°C)",1,0.5)</f>
        <v>1</v>
      </c>
      <c r="DS132" cm="1">
        <f t="array" ref="DS132">IF(AF132="&lt;0.2 ips",1,O.5)</f>
        <v>1</v>
      </c>
      <c r="DT132">
        <v>0.2</v>
      </c>
      <c r="DU132">
        <v>0.7</v>
      </c>
      <c r="DV132">
        <v>1</v>
      </c>
      <c r="DW132">
        <v>0.9</v>
      </c>
      <c r="DX132">
        <f t="shared" ref="DX132:DX133" si="99">PRODUCT(DQ132:DV132)</f>
        <v>0.13999999999999999</v>
      </c>
      <c r="DY132">
        <f t="shared" ref="DY132:DY133" si="100">+DX132*((14000000/(Z132*AB132^0.5))-4*AB132)</f>
        <v>1201.6633779020881</v>
      </c>
      <c r="DZ132">
        <f t="shared" ref="DZ132:DZ133" si="101">+DY132/8760</f>
        <v>0.1371761846920192</v>
      </c>
      <c r="EA132">
        <f t="shared" ref="EA132:EA133" si="102">ROUND(+DZ132*12,1)</f>
        <v>1.6</v>
      </c>
    </row>
    <row r="133" spans="1:131" hidden="1" x14ac:dyDescent="0.25">
      <c r="A133" t="s">
        <v>505</v>
      </c>
      <c r="B133" t="s">
        <v>447</v>
      </c>
      <c r="C133" t="s">
        <v>448</v>
      </c>
      <c r="D133" t="s">
        <v>497</v>
      </c>
      <c r="E133" t="s">
        <v>498</v>
      </c>
      <c r="F133" t="s">
        <v>223</v>
      </c>
      <c r="G133" t="s">
        <v>165</v>
      </c>
      <c r="H133" t="s">
        <v>166</v>
      </c>
      <c r="I133" t="s">
        <v>165</v>
      </c>
      <c r="L133" t="s">
        <v>224</v>
      </c>
      <c r="M133" t="s">
        <v>137</v>
      </c>
      <c r="N133" t="b">
        <v>0</v>
      </c>
      <c r="P133" s="12" t="s">
        <v>185</v>
      </c>
      <c r="Q133" s="12" t="s">
        <v>185</v>
      </c>
      <c r="R133" s="12">
        <v>210</v>
      </c>
      <c r="S133" t="s">
        <v>148</v>
      </c>
      <c r="T133" s="12" t="s">
        <v>168</v>
      </c>
      <c r="U133" s="12">
        <v>53</v>
      </c>
      <c r="V133" t="s">
        <v>148</v>
      </c>
      <c r="Z133" s="12">
        <v>120</v>
      </c>
      <c r="AA133" s="12" t="s">
        <v>169</v>
      </c>
      <c r="AB133" s="12">
        <v>140</v>
      </c>
      <c r="AC133" t="s">
        <v>148</v>
      </c>
      <c r="AD133" s="12" t="s">
        <v>170</v>
      </c>
      <c r="AE133" s="12" t="s">
        <v>144</v>
      </c>
      <c r="AF133" s="12" t="s">
        <v>171</v>
      </c>
      <c r="AG133" s="13" t="s">
        <v>172</v>
      </c>
      <c r="AH133" s="12" t="s">
        <v>173</v>
      </c>
      <c r="AI133" s="12" t="s">
        <v>145</v>
      </c>
      <c r="AJ133" s="12" t="s">
        <v>146</v>
      </c>
      <c r="AK133" s="12" t="s">
        <v>226</v>
      </c>
      <c r="AL133" s="12" t="s">
        <v>174</v>
      </c>
      <c r="AM133" s="12">
        <v>56</v>
      </c>
      <c r="AN133" t="s">
        <v>175</v>
      </c>
      <c r="AO133" s="12">
        <v>0</v>
      </c>
      <c r="AQ133" s="12" t="b">
        <v>0</v>
      </c>
      <c r="AR133" s="14" t="s">
        <v>177</v>
      </c>
      <c r="BR133" s="12" t="s">
        <v>178</v>
      </c>
      <c r="BV133" s="12" t="s">
        <v>179</v>
      </c>
      <c r="CF133" s="12" t="s">
        <v>187</v>
      </c>
      <c r="CS133" s="12" t="s">
        <v>181</v>
      </c>
      <c r="DA133" s="12">
        <v>1</v>
      </c>
      <c r="DB133" s="12">
        <v>2</v>
      </c>
      <c r="DN133" s="12" t="b">
        <v>0</v>
      </c>
      <c r="DQ133">
        <f t="shared" si="97"/>
        <v>1</v>
      </c>
      <c r="DR133">
        <f t="shared" si="98"/>
        <v>1</v>
      </c>
      <c r="DS133" cm="1">
        <f t="array" ref="DS133">IF(AF133="&lt;0.2 ips",1,O.5)</f>
        <v>1</v>
      </c>
      <c r="DT133">
        <v>0.2</v>
      </c>
      <c r="DU133">
        <v>0.7</v>
      </c>
      <c r="DV133">
        <v>1</v>
      </c>
      <c r="DW133">
        <v>0.9</v>
      </c>
      <c r="DX133">
        <f t="shared" si="99"/>
        <v>0.13999999999999999</v>
      </c>
      <c r="DY133">
        <f t="shared" si="100"/>
        <v>1302.018616056577</v>
      </c>
      <c r="DZ133">
        <f t="shared" si="101"/>
        <v>0.14863226210691519</v>
      </c>
      <c r="EA133">
        <f t="shared" si="102"/>
        <v>1.8</v>
      </c>
    </row>
    <row r="134" spans="1:131" hidden="1" x14ac:dyDescent="0.25">
      <c r="A134" t="s">
        <v>506</v>
      </c>
      <c r="B134" t="s">
        <v>447</v>
      </c>
      <c r="C134" t="s">
        <v>448</v>
      </c>
      <c r="D134" t="s">
        <v>507</v>
      </c>
      <c r="E134" t="s">
        <v>508</v>
      </c>
      <c r="F134" t="s">
        <v>478</v>
      </c>
      <c r="G134" t="s">
        <v>479</v>
      </c>
      <c r="H134" t="s">
        <v>480</v>
      </c>
      <c r="I134" t="s">
        <v>479</v>
      </c>
      <c r="M134" t="s">
        <v>137</v>
      </c>
      <c r="N134" t="b">
        <v>0</v>
      </c>
      <c r="AO134" s="12"/>
      <c r="AP134" t="s">
        <v>186</v>
      </c>
      <c r="BV134" s="12" t="s">
        <v>179</v>
      </c>
      <c r="CW134" s="12" t="s">
        <v>322</v>
      </c>
      <c r="DB134" s="12">
        <v>1</v>
      </c>
      <c r="DV134">
        <f t="shared" ref="DV134:DV139" si="103">IF(AA136="Horizontal",1,0.5)</f>
        <v>0.5</v>
      </c>
    </row>
    <row r="135" spans="1:131" hidden="1" x14ac:dyDescent="0.25">
      <c r="A135" t="s">
        <v>509</v>
      </c>
      <c r="B135" t="s">
        <v>447</v>
      </c>
      <c r="C135" t="s">
        <v>448</v>
      </c>
      <c r="D135" t="s">
        <v>507</v>
      </c>
      <c r="E135" t="s">
        <v>508</v>
      </c>
      <c r="F135" t="s">
        <v>482</v>
      </c>
      <c r="G135" t="s">
        <v>135</v>
      </c>
      <c r="H135" t="s">
        <v>136</v>
      </c>
      <c r="I135" t="s">
        <v>135</v>
      </c>
      <c r="M135" t="s">
        <v>137</v>
      </c>
      <c r="N135" t="b">
        <v>0</v>
      </c>
      <c r="DB135" s="12"/>
      <c r="DV135">
        <f t="shared" si="103"/>
        <v>1</v>
      </c>
    </row>
    <row r="136" spans="1:131" hidden="1" x14ac:dyDescent="0.25">
      <c r="A136" t="s">
        <v>510</v>
      </c>
      <c r="B136" t="s">
        <v>447</v>
      </c>
      <c r="C136" t="s">
        <v>448</v>
      </c>
      <c r="D136" t="s">
        <v>507</v>
      </c>
      <c r="E136" t="s">
        <v>508</v>
      </c>
      <c r="F136" t="s">
        <v>484</v>
      </c>
      <c r="G136" t="s">
        <v>377</v>
      </c>
      <c r="H136" t="s">
        <v>385</v>
      </c>
      <c r="I136" t="s">
        <v>377</v>
      </c>
      <c r="M136" t="s">
        <v>137</v>
      </c>
      <c r="N136" t="b">
        <v>0</v>
      </c>
      <c r="P136" s="12"/>
      <c r="Q136" s="12"/>
      <c r="R136" s="12">
        <v>180</v>
      </c>
      <c r="S136" t="s">
        <v>148</v>
      </c>
      <c r="T136" t="s">
        <v>380</v>
      </c>
      <c r="U136" s="12">
        <v>300</v>
      </c>
      <c r="V136" t="s">
        <v>148</v>
      </c>
      <c r="Z136" s="12">
        <v>5</v>
      </c>
      <c r="AA136" s="12" t="s">
        <v>485</v>
      </c>
      <c r="AB136" s="12">
        <v>150</v>
      </c>
      <c r="AC136" t="s">
        <v>148</v>
      </c>
      <c r="AD136" s="12"/>
      <c r="AE136" s="12" t="s">
        <v>144</v>
      </c>
      <c r="AI136" s="12" t="s">
        <v>206</v>
      </c>
      <c r="AJ136" s="12" t="s">
        <v>207</v>
      </c>
      <c r="AK136" s="12" t="s">
        <v>208</v>
      </c>
      <c r="AM136" s="12">
        <v>300</v>
      </c>
      <c r="AN136" t="s">
        <v>175</v>
      </c>
      <c r="AO136" s="12">
        <v>5</v>
      </c>
      <c r="AP136" t="s">
        <v>176</v>
      </c>
      <c r="BR136" s="12" t="s">
        <v>155</v>
      </c>
      <c r="BV136" s="12" t="s">
        <v>179</v>
      </c>
      <c r="CS136" s="12" t="s">
        <v>181</v>
      </c>
      <c r="DA136" s="12">
        <v>1</v>
      </c>
      <c r="DB136" s="12">
        <v>2</v>
      </c>
      <c r="DN136" s="12" t="b">
        <v>0</v>
      </c>
      <c r="DQ136">
        <f t="shared" ref="DQ136:DQ137" si="104">IF(T136="Ball",10,0)</f>
        <v>0</v>
      </c>
      <c r="DR136" t="str">
        <f t="shared" ref="DR136:DR137" si="105">+T136</f>
        <v>Journal Bearing</v>
      </c>
      <c r="DV136">
        <f t="shared" si="103"/>
        <v>0.5</v>
      </c>
    </row>
    <row r="137" spans="1:131" hidden="1" x14ac:dyDescent="0.25">
      <c r="A137" t="s">
        <v>511</v>
      </c>
      <c r="B137" t="s">
        <v>447</v>
      </c>
      <c r="C137" t="s">
        <v>448</v>
      </c>
      <c r="D137" t="s">
        <v>507</v>
      </c>
      <c r="E137" t="s">
        <v>508</v>
      </c>
      <c r="F137" t="s">
        <v>487</v>
      </c>
      <c r="G137" t="s">
        <v>377</v>
      </c>
      <c r="H137" t="s">
        <v>385</v>
      </c>
      <c r="I137" t="s">
        <v>377</v>
      </c>
      <c r="L137" t="s">
        <v>488</v>
      </c>
      <c r="M137" t="s">
        <v>137</v>
      </c>
      <c r="N137" t="b">
        <v>0</v>
      </c>
      <c r="P137" s="12"/>
      <c r="Q137" s="12"/>
      <c r="R137" s="12">
        <v>180</v>
      </c>
      <c r="S137" t="s">
        <v>148</v>
      </c>
      <c r="T137" t="s">
        <v>380</v>
      </c>
      <c r="U137" s="12">
        <v>300</v>
      </c>
      <c r="V137" t="s">
        <v>148</v>
      </c>
      <c r="Z137" s="12">
        <v>5</v>
      </c>
      <c r="AA137" s="12" t="s">
        <v>169</v>
      </c>
      <c r="AB137" s="12">
        <v>150</v>
      </c>
      <c r="AC137" t="s">
        <v>148</v>
      </c>
      <c r="AD137" s="12"/>
      <c r="AE137" s="12" t="s">
        <v>144</v>
      </c>
      <c r="AI137" s="12" t="s">
        <v>206</v>
      </c>
      <c r="AJ137" s="12" t="s">
        <v>207</v>
      </c>
      <c r="AK137" s="12" t="s">
        <v>208</v>
      </c>
      <c r="AM137" s="12">
        <v>300</v>
      </c>
      <c r="AN137" t="s">
        <v>175</v>
      </c>
      <c r="AO137" s="12">
        <v>5</v>
      </c>
      <c r="AP137" t="s">
        <v>176</v>
      </c>
      <c r="BR137" s="12" t="s">
        <v>155</v>
      </c>
      <c r="BV137" s="12" t="s">
        <v>179</v>
      </c>
      <c r="CS137" s="12" t="s">
        <v>181</v>
      </c>
      <c r="DA137" s="12">
        <v>1</v>
      </c>
      <c r="DB137" s="12">
        <v>3</v>
      </c>
      <c r="DF137" t="s">
        <v>421</v>
      </c>
      <c r="DN137" s="12" t="b">
        <v>0</v>
      </c>
      <c r="DQ137">
        <f t="shared" si="104"/>
        <v>0</v>
      </c>
      <c r="DR137" t="str">
        <f t="shared" si="105"/>
        <v>Journal Bearing</v>
      </c>
      <c r="DV137">
        <f t="shared" si="103"/>
        <v>1</v>
      </c>
    </row>
    <row r="138" spans="1:131" hidden="1" x14ac:dyDescent="0.25">
      <c r="A138" t="s">
        <v>512</v>
      </c>
      <c r="B138" t="s">
        <v>447</v>
      </c>
      <c r="C138" t="s">
        <v>448</v>
      </c>
      <c r="D138" t="s">
        <v>507</v>
      </c>
      <c r="E138" t="s">
        <v>508</v>
      </c>
      <c r="F138" t="s">
        <v>490</v>
      </c>
      <c r="G138" t="s">
        <v>140</v>
      </c>
      <c r="H138" t="s">
        <v>141</v>
      </c>
      <c r="I138" t="s">
        <v>142</v>
      </c>
      <c r="M138" t="s">
        <v>137</v>
      </c>
      <c r="N138" t="b">
        <v>0</v>
      </c>
      <c r="Y138" s="12"/>
      <c r="AE138" s="12" t="s">
        <v>144</v>
      </c>
      <c r="AI138" s="12" t="s">
        <v>145</v>
      </c>
      <c r="AJ138" s="12" t="s">
        <v>146</v>
      </c>
      <c r="AK138" s="12" t="s">
        <v>147</v>
      </c>
      <c r="AR138" s="12" t="str">
        <f>HYPERLINK("https://www.google.com/search?q=Ralpe RTCH-355","Ralpe RTCH-355")</f>
        <v>Ralpe RTCH-355</v>
      </c>
      <c r="AS138">
        <v>800</v>
      </c>
      <c r="AT138" t="s">
        <v>148</v>
      </c>
      <c r="AU138">
        <v>500</v>
      </c>
      <c r="AV138" t="s">
        <v>148</v>
      </c>
      <c r="AW138">
        <v>1400</v>
      </c>
      <c r="AX138" t="s">
        <v>148</v>
      </c>
      <c r="AY138" s="12">
        <v>160</v>
      </c>
      <c r="AZ138" t="s">
        <v>149</v>
      </c>
      <c r="BF138" s="12" t="s">
        <v>150</v>
      </c>
      <c r="BH138" s="12" t="s">
        <v>151</v>
      </c>
      <c r="BI138" s="12" t="s">
        <v>152</v>
      </c>
      <c r="BL138" s="12" t="s">
        <v>153</v>
      </c>
      <c r="BN138" s="12" t="s">
        <v>154</v>
      </c>
      <c r="BP138" s="12" t="s">
        <v>155</v>
      </c>
      <c r="BT138" s="12" t="s">
        <v>156</v>
      </c>
      <c r="BV138" s="12" t="s">
        <v>157</v>
      </c>
      <c r="BY138" s="12" t="s">
        <v>155</v>
      </c>
      <c r="CA138" s="12" t="s">
        <v>218</v>
      </c>
      <c r="CD138" s="12">
        <v>320</v>
      </c>
      <c r="CE138" t="s">
        <v>148</v>
      </c>
      <c r="CH138" s="12" t="s">
        <v>159</v>
      </c>
      <c r="CU138" s="12" t="s">
        <v>159</v>
      </c>
      <c r="DC138" s="12" t="b">
        <v>1</v>
      </c>
      <c r="DD138" s="12" t="s">
        <v>219</v>
      </c>
      <c r="DG138" s="12" t="s">
        <v>161</v>
      </c>
      <c r="DV138">
        <f t="shared" si="103"/>
        <v>1</v>
      </c>
    </row>
    <row r="139" spans="1:131" hidden="1" x14ac:dyDescent="0.25">
      <c r="A139" t="s">
        <v>513</v>
      </c>
      <c r="B139" t="s">
        <v>447</v>
      </c>
      <c r="C139" t="s">
        <v>448</v>
      </c>
      <c r="D139" t="s">
        <v>507</v>
      </c>
      <c r="E139" t="s">
        <v>508</v>
      </c>
      <c r="F139" t="s">
        <v>492</v>
      </c>
      <c r="G139" t="s">
        <v>165</v>
      </c>
      <c r="H139" t="s">
        <v>166</v>
      </c>
      <c r="I139" t="s">
        <v>165</v>
      </c>
      <c r="L139" t="s">
        <v>224</v>
      </c>
      <c r="M139" t="s">
        <v>137</v>
      </c>
      <c r="N139" t="b">
        <v>0</v>
      </c>
      <c r="P139" s="12"/>
      <c r="Q139" s="12"/>
      <c r="R139" s="12"/>
      <c r="S139" t="s">
        <v>225</v>
      </c>
      <c r="T139" s="12"/>
      <c r="U139" s="12"/>
      <c r="V139" t="s">
        <v>225</v>
      </c>
      <c r="Z139" s="12">
        <v>120</v>
      </c>
      <c r="AA139" s="12" t="s">
        <v>169</v>
      </c>
      <c r="AB139" s="12"/>
      <c r="AC139" t="s">
        <v>225</v>
      </c>
      <c r="AD139" s="12"/>
      <c r="AE139" s="12" t="s">
        <v>144</v>
      </c>
      <c r="AF139" s="12" t="s">
        <v>171</v>
      </c>
      <c r="AG139" s="13" t="s">
        <v>172</v>
      </c>
      <c r="AH139" s="12" t="s">
        <v>173</v>
      </c>
      <c r="AI139" s="12" t="s">
        <v>145</v>
      </c>
      <c r="AJ139" s="12" t="s">
        <v>146</v>
      </c>
      <c r="AK139" s="12" t="s">
        <v>226</v>
      </c>
      <c r="AL139" s="12" t="s">
        <v>174</v>
      </c>
      <c r="AM139" s="12"/>
      <c r="AO139" s="12">
        <v>0</v>
      </c>
      <c r="AQ139" s="12" t="b">
        <v>0</v>
      </c>
      <c r="BR139" s="12" t="s">
        <v>178</v>
      </c>
      <c r="BV139" s="12" t="s">
        <v>179</v>
      </c>
      <c r="CF139" s="12" t="s">
        <v>187</v>
      </c>
      <c r="CS139" s="12" t="s">
        <v>181</v>
      </c>
      <c r="DA139" s="12">
        <v>1</v>
      </c>
      <c r="DB139" s="12">
        <v>4</v>
      </c>
      <c r="DN139" s="12" t="b">
        <v>0</v>
      </c>
      <c r="DV139">
        <f t="shared" si="103"/>
        <v>1</v>
      </c>
    </row>
    <row r="140" spans="1:131" hidden="1" x14ac:dyDescent="0.25">
      <c r="A140" t="s">
        <v>514</v>
      </c>
      <c r="B140" t="s">
        <v>447</v>
      </c>
      <c r="C140" t="s">
        <v>448</v>
      </c>
      <c r="D140" t="s">
        <v>507</v>
      </c>
      <c r="E140" t="s">
        <v>508</v>
      </c>
      <c r="F140" t="s">
        <v>164</v>
      </c>
      <c r="G140" t="s">
        <v>165</v>
      </c>
      <c r="H140" t="s">
        <v>166</v>
      </c>
      <c r="I140" t="s">
        <v>165</v>
      </c>
      <c r="L140" t="s">
        <v>494</v>
      </c>
      <c r="M140" t="s">
        <v>137</v>
      </c>
      <c r="N140" t="b">
        <v>0</v>
      </c>
      <c r="P140" s="12" t="s">
        <v>167</v>
      </c>
      <c r="Q140" s="12" t="s">
        <v>167</v>
      </c>
      <c r="R140" s="12">
        <v>160</v>
      </c>
      <c r="S140" t="s">
        <v>148</v>
      </c>
      <c r="T140" s="12" t="s">
        <v>168</v>
      </c>
      <c r="U140" s="12">
        <v>60</v>
      </c>
      <c r="V140" t="s">
        <v>148</v>
      </c>
      <c r="Z140" s="12">
        <v>120</v>
      </c>
      <c r="AA140" s="12" t="s">
        <v>169</v>
      </c>
      <c r="AB140" s="12">
        <v>160</v>
      </c>
      <c r="AC140" t="s">
        <v>148</v>
      </c>
      <c r="AD140" s="12" t="s">
        <v>170</v>
      </c>
      <c r="AE140" s="12" t="s">
        <v>144</v>
      </c>
      <c r="AF140" s="12" t="s">
        <v>171</v>
      </c>
      <c r="AG140" s="13" t="s">
        <v>172</v>
      </c>
      <c r="AH140" s="12" t="s">
        <v>173</v>
      </c>
      <c r="AI140" s="12" t="s">
        <v>145</v>
      </c>
      <c r="AJ140" s="12" t="s">
        <v>146</v>
      </c>
      <c r="AK140" s="12" t="s">
        <v>226</v>
      </c>
      <c r="AL140" s="12" t="s">
        <v>174</v>
      </c>
      <c r="AM140" s="12">
        <v>48</v>
      </c>
      <c r="AN140" t="s">
        <v>175</v>
      </c>
      <c r="AO140" s="12">
        <v>0</v>
      </c>
      <c r="AQ140" s="12" t="b">
        <v>0</v>
      </c>
      <c r="AR140" s="14" t="s">
        <v>177</v>
      </c>
      <c r="BR140" s="12" t="s">
        <v>155</v>
      </c>
      <c r="BV140" s="12" t="s">
        <v>179</v>
      </c>
      <c r="CF140" s="12" t="s">
        <v>180</v>
      </c>
      <c r="CS140" s="12" t="s">
        <v>181</v>
      </c>
      <c r="DA140" s="12">
        <v>1</v>
      </c>
      <c r="DB140" s="12">
        <v>2</v>
      </c>
      <c r="DF140" t="s">
        <v>178</v>
      </c>
      <c r="DN140" s="12" t="b">
        <v>0</v>
      </c>
      <c r="DQ140">
        <f t="shared" ref="DQ140:DQ141" si="106">IF(T140="Tapered/Spherical",1,0)</f>
        <v>1</v>
      </c>
      <c r="DR140">
        <f t="shared" ref="DR140:DR141" si="107">IF(AE140="125°F (51.7°C) - 150°F (65.6°C)",1,0.5)</f>
        <v>1</v>
      </c>
      <c r="DS140" cm="1">
        <f t="array" ref="DS140">IF(AF140="&lt;0.2 ips",1,O.5)</f>
        <v>1</v>
      </c>
      <c r="DT140">
        <v>0.2</v>
      </c>
      <c r="DU140">
        <v>0.7</v>
      </c>
      <c r="DV140">
        <v>1</v>
      </c>
      <c r="DW140">
        <v>0.9</v>
      </c>
      <c r="DX140">
        <f t="shared" ref="DX140:DX141" si="108">PRODUCT(DQ140:DV140)</f>
        <v>0.13999999999999999</v>
      </c>
      <c r="DY140">
        <f t="shared" ref="DY140:DY141" si="109">+DX140*((14000000/(Z140*AB140^0.5))-4*AB140)</f>
        <v>1201.6633779020881</v>
      </c>
      <c r="DZ140">
        <f t="shared" ref="DZ140:DZ141" si="110">+DY140/8760</f>
        <v>0.1371761846920192</v>
      </c>
      <c r="EA140">
        <f t="shared" ref="EA140:EA141" si="111">ROUND(+DZ140*12,1)</f>
        <v>1.6</v>
      </c>
    </row>
    <row r="141" spans="1:131" hidden="1" x14ac:dyDescent="0.25">
      <c r="A141" t="s">
        <v>515</v>
      </c>
      <c r="B141" t="s">
        <v>447</v>
      </c>
      <c r="C141" t="s">
        <v>448</v>
      </c>
      <c r="D141" t="s">
        <v>507</v>
      </c>
      <c r="E141" t="s">
        <v>508</v>
      </c>
      <c r="F141" t="s">
        <v>223</v>
      </c>
      <c r="G141" t="s">
        <v>165</v>
      </c>
      <c r="H141" t="s">
        <v>166</v>
      </c>
      <c r="I141" t="s">
        <v>165</v>
      </c>
      <c r="L141" t="s">
        <v>224</v>
      </c>
      <c r="M141" t="s">
        <v>137</v>
      </c>
      <c r="N141" t="b">
        <v>0</v>
      </c>
      <c r="P141" s="12" t="s">
        <v>185</v>
      </c>
      <c r="Q141" s="12" t="s">
        <v>185</v>
      </c>
      <c r="R141" s="12">
        <v>210</v>
      </c>
      <c r="S141" t="s">
        <v>148</v>
      </c>
      <c r="T141" s="12" t="s">
        <v>168</v>
      </c>
      <c r="U141" s="12">
        <v>53</v>
      </c>
      <c r="V141" t="s">
        <v>148</v>
      </c>
      <c r="Z141" s="12">
        <v>120</v>
      </c>
      <c r="AA141" s="12" t="s">
        <v>169</v>
      </c>
      <c r="AB141" s="12">
        <v>140</v>
      </c>
      <c r="AC141" t="s">
        <v>148</v>
      </c>
      <c r="AD141" s="12" t="s">
        <v>170</v>
      </c>
      <c r="AE141" s="12" t="s">
        <v>144</v>
      </c>
      <c r="AF141" s="12" t="s">
        <v>171</v>
      </c>
      <c r="AG141" s="13" t="s">
        <v>172</v>
      </c>
      <c r="AH141" s="12" t="s">
        <v>173</v>
      </c>
      <c r="AI141" s="12" t="s">
        <v>145</v>
      </c>
      <c r="AJ141" s="12" t="s">
        <v>146</v>
      </c>
      <c r="AK141" s="12" t="s">
        <v>226</v>
      </c>
      <c r="AL141" s="12" t="s">
        <v>174</v>
      </c>
      <c r="AM141" s="12">
        <v>56</v>
      </c>
      <c r="AN141" t="s">
        <v>175</v>
      </c>
      <c r="AO141" s="12">
        <v>0</v>
      </c>
      <c r="AQ141" s="12" t="b">
        <v>0</v>
      </c>
      <c r="AR141" s="14" t="s">
        <v>177</v>
      </c>
      <c r="BR141" s="12" t="s">
        <v>178</v>
      </c>
      <c r="BV141" s="12" t="s">
        <v>179</v>
      </c>
      <c r="CF141" s="12" t="s">
        <v>187</v>
      </c>
      <c r="CS141" s="12" t="s">
        <v>181</v>
      </c>
      <c r="DA141" s="12">
        <v>1</v>
      </c>
      <c r="DB141" s="12">
        <v>2</v>
      </c>
      <c r="DN141" s="12" t="b">
        <v>0</v>
      </c>
      <c r="DQ141">
        <f t="shared" si="106"/>
        <v>1</v>
      </c>
      <c r="DR141">
        <f t="shared" si="107"/>
        <v>1</v>
      </c>
      <c r="DS141" cm="1">
        <f t="array" ref="DS141">IF(AF141="&lt;0.2 ips",1,O.5)</f>
        <v>1</v>
      </c>
      <c r="DT141">
        <v>0.2</v>
      </c>
      <c r="DU141">
        <v>0.7</v>
      </c>
      <c r="DV141">
        <v>1</v>
      </c>
      <c r="DW141">
        <v>0.9</v>
      </c>
      <c r="DX141">
        <f t="shared" si="108"/>
        <v>0.13999999999999999</v>
      </c>
      <c r="DY141">
        <f t="shared" si="109"/>
        <v>1302.018616056577</v>
      </c>
      <c r="DZ141">
        <f t="shared" si="110"/>
        <v>0.14863226210691519</v>
      </c>
      <c r="EA141">
        <f t="shared" si="111"/>
        <v>1.8</v>
      </c>
    </row>
    <row r="142" spans="1:131" hidden="1" x14ac:dyDescent="0.25">
      <c r="A142" t="s">
        <v>516</v>
      </c>
      <c r="B142" t="s">
        <v>447</v>
      </c>
      <c r="C142" t="s">
        <v>448</v>
      </c>
      <c r="D142" t="s">
        <v>517</v>
      </c>
      <c r="E142" t="s">
        <v>518</v>
      </c>
      <c r="F142" t="s">
        <v>482</v>
      </c>
      <c r="G142" t="s">
        <v>135</v>
      </c>
      <c r="H142" t="s">
        <v>136</v>
      </c>
      <c r="I142" t="s">
        <v>135</v>
      </c>
      <c r="M142" t="s">
        <v>137</v>
      </c>
      <c r="N142" t="b">
        <v>0</v>
      </c>
      <c r="DB142" s="12">
        <v>1</v>
      </c>
      <c r="DV142">
        <f t="shared" ref="DV142:DV143" si="112">IF(AA144="Horizontal",1,0.5)</f>
        <v>1</v>
      </c>
    </row>
    <row r="143" spans="1:131" hidden="1" x14ac:dyDescent="0.25">
      <c r="A143" t="s">
        <v>519</v>
      </c>
      <c r="B143" t="s">
        <v>447</v>
      </c>
      <c r="C143" t="s">
        <v>448</v>
      </c>
      <c r="D143" t="s">
        <v>517</v>
      </c>
      <c r="E143" t="s">
        <v>518</v>
      </c>
      <c r="F143" t="s">
        <v>490</v>
      </c>
      <c r="G143" t="s">
        <v>140</v>
      </c>
      <c r="H143" t="s">
        <v>141</v>
      </c>
      <c r="I143" t="s">
        <v>142</v>
      </c>
      <c r="M143" t="s">
        <v>137</v>
      </c>
      <c r="N143" t="b">
        <v>0</v>
      </c>
      <c r="Y143" s="12"/>
      <c r="AE143" s="12" t="s">
        <v>144</v>
      </c>
      <c r="AI143" s="12" t="s">
        <v>206</v>
      </c>
      <c r="AJ143" s="12" t="s">
        <v>146</v>
      </c>
      <c r="AK143" s="12" t="s">
        <v>147</v>
      </c>
      <c r="AR143" s="12" t="str">
        <f>HYPERLINK("https://www.google.com/search?q=SEW","SEW")</f>
        <v>SEW</v>
      </c>
      <c r="AS143">
        <v>450</v>
      </c>
      <c r="AT143" t="s">
        <v>148</v>
      </c>
      <c r="AU143">
        <v>250</v>
      </c>
      <c r="AV143" t="s">
        <v>148</v>
      </c>
      <c r="AW143">
        <v>450</v>
      </c>
      <c r="AX143" t="s">
        <v>148</v>
      </c>
      <c r="AY143" s="12">
        <v>160</v>
      </c>
      <c r="AZ143" t="s">
        <v>149</v>
      </c>
      <c r="BF143" s="12" t="s">
        <v>150</v>
      </c>
      <c r="BH143" s="12" t="s">
        <v>151</v>
      </c>
      <c r="BI143" s="12" t="s">
        <v>152</v>
      </c>
      <c r="BL143" s="15" t="s">
        <v>339</v>
      </c>
      <c r="BN143" s="12" t="s">
        <v>520</v>
      </c>
      <c r="BP143" s="12" t="s">
        <v>155</v>
      </c>
      <c r="BT143" s="12" t="s">
        <v>340</v>
      </c>
      <c r="BV143" s="12" t="s">
        <v>157</v>
      </c>
      <c r="BY143" s="12" t="s">
        <v>155</v>
      </c>
      <c r="CA143" s="12" t="s">
        <v>158</v>
      </c>
      <c r="CD143" s="12">
        <v>200</v>
      </c>
      <c r="CE143" t="s">
        <v>148</v>
      </c>
      <c r="CH143" s="15" t="s">
        <v>339</v>
      </c>
      <c r="CU143" s="15" t="s">
        <v>339</v>
      </c>
      <c r="DC143" s="12"/>
      <c r="DD143" s="12" t="s">
        <v>219</v>
      </c>
      <c r="DG143" s="12" t="s">
        <v>521</v>
      </c>
      <c r="DV143">
        <f t="shared" si="112"/>
        <v>1</v>
      </c>
    </row>
    <row r="144" spans="1:131" hidden="1" x14ac:dyDescent="0.25">
      <c r="A144" t="s">
        <v>522</v>
      </c>
      <c r="B144" t="s">
        <v>447</v>
      </c>
      <c r="C144" t="s">
        <v>448</v>
      </c>
      <c r="D144" t="s">
        <v>517</v>
      </c>
      <c r="E144" t="s">
        <v>518</v>
      </c>
      <c r="F144" t="s">
        <v>164</v>
      </c>
      <c r="G144" t="s">
        <v>165</v>
      </c>
      <c r="H144" t="s">
        <v>166</v>
      </c>
      <c r="I144" t="s">
        <v>165</v>
      </c>
      <c r="L144" t="s">
        <v>224</v>
      </c>
      <c r="M144" t="s">
        <v>137</v>
      </c>
      <c r="N144" t="b">
        <v>0</v>
      </c>
      <c r="P144" s="12" t="s">
        <v>523</v>
      </c>
      <c r="Q144" s="12" t="s">
        <v>523</v>
      </c>
      <c r="R144" s="12">
        <v>150</v>
      </c>
      <c r="S144" t="s">
        <v>148</v>
      </c>
      <c r="T144" s="12" t="s">
        <v>168</v>
      </c>
      <c r="U144" s="12">
        <v>36</v>
      </c>
      <c r="V144" t="s">
        <v>148</v>
      </c>
      <c r="Z144" s="12">
        <v>120</v>
      </c>
      <c r="AA144" s="12" t="s">
        <v>169</v>
      </c>
      <c r="AB144" s="12">
        <v>85</v>
      </c>
      <c r="AC144" t="s">
        <v>148</v>
      </c>
      <c r="AD144" s="12" t="s">
        <v>170</v>
      </c>
      <c r="AE144" s="12" t="s">
        <v>144</v>
      </c>
      <c r="AF144" s="12" t="s">
        <v>171</v>
      </c>
      <c r="AG144" s="13" t="s">
        <v>172</v>
      </c>
      <c r="AH144" s="12" t="s">
        <v>173</v>
      </c>
      <c r="AI144" s="12" t="s">
        <v>145</v>
      </c>
      <c r="AJ144" s="12" t="s">
        <v>146</v>
      </c>
      <c r="AK144" s="12" t="s">
        <v>226</v>
      </c>
      <c r="AL144" s="12" t="s">
        <v>174</v>
      </c>
      <c r="AM144" s="12">
        <v>27</v>
      </c>
      <c r="AN144" t="s">
        <v>175</v>
      </c>
      <c r="AO144" s="12">
        <v>0</v>
      </c>
      <c r="AQ144" s="12" t="b">
        <v>0</v>
      </c>
      <c r="AR144" s="14" t="s">
        <v>177</v>
      </c>
      <c r="BR144" s="12" t="s">
        <v>155</v>
      </c>
      <c r="BV144" s="12" t="s">
        <v>179</v>
      </c>
      <c r="CF144" s="12" t="s">
        <v>180</v>
      </c>
      <c r="CS144" s="12" t="s">
        <v>181</v>
      </c>
      <c r="DA144" s="12">
        <v>1</v>
      </c>
      <c r="DB144" s="12">
        <v>2</v>
      </c>
      <c r="DF144" t="s">
        <v>178</v>
      </c>
      <c r="DN144" s="12" t="b">
        <v>0</v>
      </c>
      <c r="DQ144">
        <f t="shared" ref="DQ144:DQ145" si="113">IF(T144="Tapered/Spherical",1,0)</f>
        <v>1</v>
      </c>
      <c r="DR144">
        <f t="shared" ref="DR144:DR146" si="114">IF(AE144="125°F (51.7°C) - 150°F (65.6°C)",1,0.5)</f>
        <v>1</v>
      </c>
      <c r="DS144" cm="1">
        <f t="array" ref="DS144">IF(AF144="&lt;0.2 ips",1,O.5)</f>
        <v>1</v>
      </c>
      <c r="DT144">
        <v>0.2</v>
      </c>
      <c r="DU144">
        <v>0.7</v>
      </c>
      <c r="DV144">
        <v>1</v>
      </c>
      <c r="DW144">
        <v>0.9</v>
      </c>
      <c r="DX144">
        <f t="shared" ref="DX144:DX146" si="115">PRODUCT(DQ144:DV144)</f>
        <v>0.13999999999999999</v>
      </c>
      <c r="DY144">
        <f t="shared" ref="DY144:DY146" si="116">+DX144*((14000000/(Z144*AB144^0.5))-4*AB144)</f>
        <v>1723.9987388523587</v>
      </c>
      <c r="DZ144">
        <f t="shared" ref="DZ144:DZ146" si="117">+DY144/8760</f>
        <v>0.1968035090014108</v>
      </c>
      <c r="EA144">
        <f t="shared" ref="EA144:EA146" si="118">ROUND(+DZ144*12,1)</f>
        <v>2.4</v>
      </c>
    </row>
    <row r="145" spans="1:131" hidden="1" x14ac:dyDescent="0.25">
      <c r="A145" t="s">
        <v>524</v>
      </c>
      <c r="B145" t="s">
        <v>447</v>
      </c>
      <c r="C145" t="s">
        <v>448</v>
      </c>
      <c r="D145" t="s">
        <v>517</v>
      </c>
      <c r="E145" t="s">
        <v>518</v>
      </c>
      <c r="F145" t="s">
        <v>223</v>
      </c>
      <c r="G145" t="s">
        <v>165</v>
      </c>
      <c r="H145" t="s">
        <v>166</v>
      </c>
      <c r="I145" t="s">
        <v>165</v>
      </c>
      <c r="L145" t="s">
        <v>224</v>
      </c>
      <c r="M145" t="s">
        <v>137</v>
      </c>
      <c r="N145" t="b">
        <v>0</v>
      </c>
      <c r="P145" s="12" t="s">
        <v>525</v>
      </c>
      <c r="Q145" s="12" t="s">
        <v>525</v>
      </c>
      <c r="R145" s="12">
        <v>120</v>
      </c>
      <c r="S145" t="s">
        <v>148</v>
      </c>
      <c r="T145" s="12" t="s">
        <v>168</v>
      </c>
      <c r="U145" s="12">
        <v>31</v>
      </c>
      <c r="V145" t="s">
        <v>148</v>
      </c>
      <c r="Z145" s="12">
        <v>120</v>
      </c>
      <c r="AA145" s="12" t="s">
        <v>169</v>
      </c>
      <c r="AB145" s="12">
        <v>65</v>
      </c>
      <c r="AC145" t="s">
        <v>148</v>
      </c>
      <c r="AD145" s="12" t="s">
        <v>170</v>
      </c>
      <c r="AE145" s="12" t="s">
        <v>144</v>
      </c>
      <c r="AF145" s="12" t="s">
        <v>171</v>
      </c>
      <c r="AG145" s="13" t="s">
        <v>172</v>
      </c>
      <c r="AH145" s="12" t="s">
        <v>173</v>
      </c>
      <c r="AI145" s="12" t="s">
        <v>145</v>
      </c>
      <c r="AJ145" s="12" t="s">
        <v>146</v>
      </c>
      <c r="AK145" s="12" t="s">
        <v>226</v>
      </c>
      <c r="AL145" s="12" t="s">
        <v>174</v>
      </c>
      <c r="AM145" s="12">
        <v>19</v>
      </c>
      <c r="AN145" t="s">
        <v>175</v>
      </c>
      <c r="AO145" s="12">
        <v>0</v>
      </c>
      <c r="AQ145" s="12" t="b">
        <v>0</v>
      </c>
      <c r="AR145" s="14" t="s">
        <v>177</v>
      </c>
      <c r="BR145" s="12" t="s">
        <v>155</v>
      </c>
      <c r="BV145" s="12" t="s">
        <v>179</v>
      </c>
      <c r="CF145" s="12" t="s">
        <v>180</v>
      </c>
      <c r="CS145" s="12" t="s">
        <v>181</v>
      </c>
      <c r="DA145" s="12">
        <v>1</v>
      </c>
      <c r="DB145" s="12">
        <v>2</v>
      </c>
      <c r="DF145" t="s">
        <v>178</v>
      </c>
      <c r="DN145" s="12" t="b">
        <v>0</v>
      </c>
      <c r="DQ145">
        <f t="shared" si="113"/>
        <v>1</v>
      </c>
      <c r="DR145">
        <f t="shared" si="114"/>
        <v>1</v>
      </c>
      <c r="DS145" cm="1">
        <f t="array" ref="DS145">IF(AF145="&lt;0.2 ips",1,O.5)</f>
        <v>1</v>
      </c>
      <c r="DT145">
        <v>0.2</v>
      </c>
      <c r="DU145">
        <v>0.7</v>
      </c>
      <c r="DV145">
        <v>1</v>
      </c>
      <c r="DW145">
        <v>0.9</v>
      </c>
      <c r="DX145">
        <f t="shared" si="115"/>
        <v>0.13999999999999999</v>
      </c>
      <c r="DY145">
        <f t="shared" si="116"/>
        <v>1989.5006649570714</v>
      </c>
      <c r="DZ145">
        <f t="shared" si="117"/>
        <v>0.22711194805446019</v>
      </c>
      <c r="EA145">
        <f t="shared" si="118"/>
        <v>2.7</v>
      </c>
    </row>
    <row r="146" spans="1:131" hidden="1" x14ac:dyDescent="0.25">
      <c r="A146" t="s">
        <v>526</v>
      </c>
      <c r="B146" t="s">
        <v>447</v>
      </c>
      <c r="C146" t="s">
        <v>448</v>
      </c>
      <c r="D146" t="s">
        <v>517</v>
      </c>
      <c r="E146" t="s">
        <v>518</v>
      </c>
      <c r="F146" t="s">
        <v>527</v>
      </c>
      <c r="G146" t="s">
        <v>165</v>
      </c>
      <c r="H146" t="s">
        <v>166</v>
      </c>
      <c r="I146" t="s">
        <v>165</v>
      </c>
      <c r="L146" t="s">
        <v>224</v>
      </c>
      <c r="M146" t="s">
        <v>137</v>
      </c>
      <c r="N146" t="b">
        <v>0</v>
      </c>
      <c r="P146" s="12" t="s">
        <v>528</v>
      </c>
      <c r="Q146" s="12" t="s">
        <v>528</v>
      </c>
      <c r="R146" s="12">
        <v>100</v>
      </c>
      <c r="S146" t="s">
        <v>148</v>
      </c>
      <c r="T146" s="12" t="s">
        <v>203</v>
      </c>
      <c r="U146" s="12">
        <v>25</v>
      </c>
      <c r="V146" t="s">
        <v>148</v>
      </c>
      <c r="Z146" s="12">
        <v>120</v>
      </c>
      <c r="AA146" s="12" t="s">
        <v>169</v>
      </c>
      <c r="AB146" s="12">
        <v>55</v>
      </c>
      <c r="AC146" t="s">
        <v>148</v>
      </c>
      <c r="AD146" s="12" t="s">
        <v>170</v>
      </c>
      <c r="AE146" s="12" t="s">
        <v>144</v>
      </c>
      <c r="AF146" s="12" t="s">
        <v>171</v>
      </c>
      <c r="AG146" s="13" t="s">
        <v>172</v>
      </c>
      <c r="AH146" s="12" t="s">
        <v>173</v>
      </c>
      <c r="AI146" s="12" t="s">
        <v>145</v>
      </c>
      <c r="AJ146" s="12" t="s">
        <v>146</v>
      </c>
      <c r="AK146" s="12" t="s">
        <v>226</v>
      </c>
      <c r="AL146" s="12" t="s">
        <v>174</v>
      </c>
      <c r="AM146" s="12">
        <v>12.5</v>
      </c>
      <c r="AN146" t="s">
        <v>175</v>
      </c>
      <c r="AO146" s="12">
        <v>0</v>
      </c>
      <c r="AQ146" s="12" t="b">
        <v>0</v>
      </c>
      <c r="AR146" s="14" t="s">
        <v>177</v>
      </c>
      <c r="BR146" s="12" t="s">
        <v>155</v>
      </c>
      <c r="BV146" s="12" t="s">
        <v>179</v>
      </c>
      <c r="CF146" s="12" t="s">
        <v>180</v>
      </c>
      <c r="CS146" s="12" t="s">
        <v>181</v>
      </c>
      <c r="DA146" s="12">
        <v>1</v>
      </c>
      <c r="DB146" s="12">
        <v>2</v>
      </c>
      <c r="DF146" t="s">
        <v>178</v>
      </c>
      <c r="DN146" s="12" t="b">
        <v>0</v>
      </c>
      <c r="DQ146">
        <v>10</v>
      </c>
      <c r="DR146">
        <f t="shared" si="114"/>
        <v>1</v>
      </c>
      <c r="DS146" cm="1">
        <f t="array" ref="DS146">IF(AF146="&lt;0.2 ips",1,O.5)</f>
        <v>1</v>
      </c>
      <c r="DT146">
        <v>0.2</v>
      </c>
      <c r="DU146">
        <v>0.7</v>
      </c>
      <c r="DV146">
        <v>1</v>
      </c>
      <c r="DW146">
        <v>0.9</v>
      </c>
      <c r="DX146">
        <f t="shared" si="115"/>
        <v>1.4</v>
      </c>
      <c r="DY146">
        <f t="shared" si="116"/>
        <v>21715.86217379924</v>
      </c>
      <c r="DZ146">
        <f t="shared" si="117"/>
        <v>2.4789797002053926</v>
      </c>
      <c r="EA146">
        <f t="shared" si="118"/>
        <v>29.7</v>
      </c>
    </row>
    <row r="147" spans="1:131" hidden="1" x14ac:dyDescent="0.25">
      <c r="A147" t="s">
        <v>529</v>
      </c>
      <c r="B147" t="s">
        <v>447</v>
      </c>
      <c r="C147" t="s">
        <v>448</v>
      </c>
      <c r="D147" t="s">
        <v>530</v>
      </c>
      <c r="E147" t="s">
        <v>531</v>
      </c>
      <c r="F147" t="s">
        <v>134</v>
      </c>
      <c r="G147" t="s">
        <v>135</v>
      </c>
      <c r="H147" t="s">
        <v>136</v>
      </c>
      <c r="I147" t="s">
        <v>135</v>
      </c>
      <c r="M147" t="s">
        <v>137</v>
      </c>
      <c r="N147" t="b">
        <v>0</v>
      </c>
      <c r="DB147" s="12"/>
      <c r="DV147">
        <f t="shared" ref="DV147:DV148" si="119">IF(AA149="Horizontal",1,0.5)</f>
        <v>1</v>
      </c>
    </row>
    <row r="148" spans="1:131" hidden="1" x14ac:dyDescent="0.25">
      <c r="A148" t="s">
        <v>532</v>
      </c>
      <c r="B148" t="s">
        <v>447</v>
      </c>
      <c r="C148" t="s">
        <v>448</v>
      </c>
      <c r="D148" t="s">
        <v>530</v>
      </c>
      <c r="E148" t="s">
        <v>531</v>
      </c>
      <c r="F148" t="s">
        <v>139</v>
      </c>
      <c r="G148" t="s">
        <v>140</v>
      </c>
      <c r="H148" t="s">
        <v>141</v>
      </c>
      <c r="I148" t="s">
        <v>142</v>
      </c>
      <c r="M148" t="s">
        <v>137</v>
      </c>
      <c r="N148" t="b">
        <v>0</v>
      </c>
      <c r="Y148" s="12"/>
      <c r="AE148" s="12" t="s">
        <v>205</v>
      </c>
      <c r="AI148" s="12" t="s">
        <v>145</v>
      </c>
      <c r="AJ148" s="12" t="s">
        <v>146</v>
      </c>
      <c r="AK148" s="12" t="s">
        <v>226</v>
      </c>
      <c r="AR148" s="12" t="str">
        <f>HYPERLINK("https://www.google.com/search?q=Ralpe RTTH-315","Ralpe RTTH-315")</f>
        <v>Ralpe RTTH-315</v>
      </c>
      <c r="AS148">
        <v>700</v>
      </c>
      <c r="AT148" t="s">
        <v>148</v>
      </c>
      <c r="AU148">
        <v>350</v>
      </c>
      <c r="AV148" t="s">
        <v>148</v>
      </c>
      <c r="AW148">
        <v>1200</v>
      </c>
      <c r="AX148" t="s">
        <v>148</v>
      </c>
      <c r="AY148" s="12">
        <v>90</v>
      </c>
      <c r="AZ148" t="s">
        <v>149</v>
      </c>
      <c r="BF148" s="12" t="s">
        <v>150</v>
      </c>
      <c r="BH148" s="12" t="s">
        <v>151</v>
      </c>
      <c r="BI148" s="12" t="s">
        <v>152</v>
      </c>
      <c r="BL148" s="12" t="s">
        <v>153</v>
      </c>
      <c r="BN148" s="12" t="s">
        <v>154</v>
      </c>
      <c r="BP148" s="12" t="s">
        <v>155</v>
      </c>
      <c r="BT148" s="12" t="s">
        <v>156</v>
      </c>
      <c r="BV148" s="12" t="s">
        <v>157</v>
      </c>
      <c r="BY148" s="12" t="s">
        <v>155</v>
      </c>
      <c r="CA148" s="12" t="s">
        <v>218</v>
      </c>
      <c r="CD148" s="12">
        <v>200</v>
      </c>
      <c r="CE148" t="s">
        <v>148</v>
      </c>
      <c r="CH148" s="15" t="s">
        <v>339</v>
      </c>
      <c r="CU148" s="12" t="s">
        <v>333</v>
      </c>
      <c r="DC148" s="12" t="b">
        <v>1</v>
      </c>
      <c r="DD148" s="12" t="s">
        <v>219</v>
      </c>
      <c r="DG148" s="12" t="s">
        <v>161</v>
      </c>
      <c r="DV148">
        <f t="shared" si="119"/>
        <v>1</v>
      </c>
    </row>
    <row r="149" spans="1:131" hidden="1" x14ac:dyDescent="0.25">
      <c r="A149" t="s">
        <v>533</v>
      </c>
      <c r="B149" t="s">
        <v>447</v>
      </c>
      <c r="C149" t="s">
        <v>448</v>
      </c>
      <c r="D149" t="s">
        <v>530</v>
      </c>
      <c r="E149" t="s">
        <v>531</v>
      </c>
      <c r="F149" t="s">
        <v>164</v>
      </c>
      <c r="G149" t="s">
        <v>165</v>
      </c>
      <c r="H149" t="s">
        <v>166</v>
      </c>
      <c r="I149" t="s">
        <v>165</v>
      </c>
      <c r="M149" t="s">
        <v>137</v>
      </c>
      <c r="N149" t="b">
        <v>0</v>
      </c>
      <c r="P149" s="12" t="s">
        <v>167</v>
      </c>
      <c r="Q149" s="12" t="s">
        <v>167</v>
      </c>
      <c r="R149" s="12">
        <v>160</v>
      </c>
      <c r="S149" t="s">
        <v>148</v>
      </c>
      <c r="T149" s="12" t="s">
        <v>168</v>
      </c>
      <c r="U149" s="12">
        <v>60</v>
      </c>
      <c r="V149" t="s">
        <v>148</v>
      </c>
      <c r="Z149" s="12">
        <v>120</v>
      </c>
      <c r="AA149" s="12" t="s">
        <v>169</v>
      </c>
      <c r="AB149" s="12">
        <v>160</v>
      </c>
      <c r="AC149" t="s">
        <v>148</v>
      </c>
      <c r="AD149" s="12" t="s">
        <v>170</v>
      </c>
      <c r="AE149" s="12" t="s">
        <v>144</v>
      </c>
      <c r="AF149" s="12" t="s">
        <v>171</v>
      </c>
      <c r="AG149" s="13" t="s">
        <v>172</v>
      </c>
      <c r="AH149" s="12" t="s">
        <v>173</v>
      </c>
      <c r="AI149" s="12" t="s">
        <v>145</v>
      </c>
      <c r="AJ149" s="12" t="s">
        <v>146</v>
      </c>
      <c r="AK149" s="12" t="s">
        <v>226</v>
      </c>
      <c r="AL149" s="12" t="s">
        <v>174</v>
      </c>
      <c r="AM149" s="12">
        <v>48</v>
      </c>
      <c r="AN149" t="s">
        <v>175</v>
      </c>
      <c r="AO149" s="12">
        <v>0</v>
      </c>
      <c r="AQ149" s="12" t="b">
        <v>0</v>
      </c>
      <c r="AR149" s="14" t="s">
        <v>177</v>
      </c>
      <c r="BR149" s="12" t="s">
        <v>155</v>
      </c>
      <c r="BV149" s="12" t="s">
        <v>179</v>
      </c>
      <c r="CF149" s="12" t="s">
        <v>180</v>
      </c>
      <c r="CS149" s="12" t="s">
        <v>181</v>
      </c>
      <c r="DA149" s="12">
        <v>1</v>
      </c>
      <c r="DB149" s="12">
        <v>2</v>
      </c>
      <c r="DN149" s="12" t="b">
        <v>0</v>
      </c>
      <c r="DQ149">
        <f t="shared" ref="DQ149:DQ154" si="120">IF(T149="Tapered/Spherical",1,0)</f>
        <v>1</v>
      </c>
      <c r="DR149">
        <f t="shared" ref="DR149:DR154" si="121">IF(AE149="125°F (51.7°C) - 150°F (65.6°C)",1,0.5)</f>
        <v>1</v>
      </c>
      <c r="DS149" cm="1">
        <f t="array" ref="DS149">IF(AF149="&lt;0.2 ips",1,O.5)</f>
        <v>1</v>
      </c>
      <c r="DT149">
        <v>0.2</v>
      </c>
      <c r="DU149">
        <v>0.7</v>
      </c>
      <c r="DV149">
        <v>1</v>
      </c>
      <c r="DW149">
        <v>0.9</v>
      </c>
      <c r="DX149">
        <f t="shared" ref="DX149:DX154" si="122">PRODUCT(DQ149:DV149)</f>
        <v>0.13999999999999999</v>
      </c>
      <c r="DY149">
        <f t="shared" ref="DY149:DY154" si="123">+DX149*((14000000/(Z149*AB149^0.5))-4*AB149)</f>
        <v>1201.6633779020881</v>
      </c>
      <c r="DZ149">
        <f t="shared" ref="DZ149:DZ154" si="124">+DY149/8760</f>
        <v>0.1371761846920192</v>
      </c>
      <c r="EA149">
        <f t="shared" ref="EA149:EA154" si="125">ROUND(+DZ149*12,1)</f>
        <v>1.6</v>
      </c>
    </row>
    <row r="150" spans="1:131" hidden="1" x14ac:dyDescent="0.25">
      <c r="A150" t="s">
        <v>534</v>
      </c>
      <c r="B150" t="s">
        <v>447</v>
      </c>
      <c r="C150" t="s">
        <v>448</v>
      </c>
      <c r="D150" t="s">
        <v>530</v>
      </c>
      <c r="E150" t="s">
        <v>531</v>
      </c>
      <c r="F150" t="s">
        <v>223</v>
      </c>
      <c r="G150" t="s">
        <v>165</v>
      </c>
      <c r="H150" t="s">
        <v>166</v>
      </c>
      <c r="I150" t="s">
        <v>165</v>
      </c>
      <c r="L150" t="s">
        <v>224</v>
      </c>
      <c r="M150" t="s">
        <v>137</v>
      </c>
      <c r="N150" t="b">
        <v>0</v>
      </c>
      <c r="P150" s="12" t="s">
        <v>185</v>
      </c>
      <c r="Q150" s="12" t="s">
        <v>185</v>
      </c>
      <c r="R150" s="12">
        <v>210</v>
      </c>
      <c r="S150" t="s">
        <v>148</v>
      </c>
      <c r="T150" s="12" t="s">
        <v>168</v>
      </c>
      <c r="U150" s="12">
        <v>53</v>
      </c>
      <c r="V150" t="s">
        <v>148</v>
      </c>
      <c r="Z150" s="12">
        <v>120</v>
      </c>
      <c r="AA150" s="12" t="s">
        <v>169</v>
      </c>
      <c r="AB150" s="12">
        <v>140</v>
      </c>
      <c r="AC150" t="s">
        <v>148</v>
      </c>
      <c r="AD150" s="12" t="s">
        <v>170</v>
      </c>
      <c r="AE150" s="12" t="s">
        <v>144</v>
      </c>
      <c r="AF150" s="12" t="s">
        <v>171</v>
      </c>
      <c r="AG150" s="13" t="s">
        <v>172</v>
      </c>
      <c r="AH150" s="12" t="s">
        <v>173</v>
      </c>
      <c r="AI150" s="12" t="s">
        <v>145</v>
      </c>
      <c r="AJ150" s="12" t="s">
        <v>146</v>
      </c>
      <c r="AK150" s="12" t="s">
        <v>226</v>
      </c>
      <c r="AL150" s="12" t="s">
        <v>174</v>
      </c>
      <c r="AM150" s="12">
        <v>56</v>
      </c>
      <c r="AN150" t="s">
        <v>175</v>
      </c>
      <c r="AO150" s="12">
        <v>0</v>
      </c>
      <c r="AQ150" s="12" t="b">
        <v>0</v>
      </c>
      <c r="AR150" s="14" t="s">
        <v>177</v>
      </c>
      <c r="BR150" s="12" t="s">
        <v>155</v>
      </c>
      <c r="BV150" s="12" t="s">
        <v>179</v>
      </c>
      <c r="CF150" s="12" t="s">
        <v>180</v>
      </c>
      <c r="CS150" s="12" t="s">
        <v>181</v>
      </c>
      <c r="DA150" s="12">
        <v>1</v>
      </c>
      <c r="DB150" s="12">
        <v>2</v>
      </c>
      <c r="DF150" t="s">
        <v>178</v>
      </c>
      <c r="DN150" s="12" t="b">
        <v>0</v>
      </c>
      <c r="DQ150">
        <f t="shared" si="120"/>
        <v>1</v>
      </c>
      <c r="DR150">
        <f t="shared" si="121"/>
        <v>1</v>
      </c>
      <c r="DS150" cm="1">
        <f t="array" ref="DS150">IF(AF150="&lt;0.2 ips",1,O.5)</f>
        <v>1</v>
      </c>
      <c r="DT150">
        <v>0.2</v>
      </c>
      <c r="DU150">
        <v>0.7</v>
      </c>
      <c r="DV150">
        <v>1</v>
      </c>
      <c r="DW150">
        <v>0.9</v>
      </c>
      <c r="DX150">
        <f t="shared" si="122"/>
        <v>0.13999999999999999</v>
      </c>
      <c r="DY150">
        <f t="shared" si="123"/>
        <v>1302.018616056577</v>
      </c>
      <c r="DZ150">
        <f t="shared" si="124"/>
        <v>0.14863226210691519</v>
      </c>
      <c r="EA150">
        <f t="shared" si="125"/>
        <v>1.8</v>
      </c>
    </row>
    <row r="151" spans="1:131" hidden="1" x14ac:dyDescent="0.25">
      <c r="A151" t="s">
        <v>535</v>
      </c>
      <c r="B151" t="s">
        <v>447</v>
      </c>
      <c r="C151" t="s">
        <v>448</v>
      </c>
      <c r="D151" t="s">
        <v>530</v>
      </c>
      <c r="E151" t="s">
        <v>531</v>
      </c>
      <c r="F151" t="s">
        <v>536</v>
      </c>
      <c r="G151" t="s">
        <v>165</v>
      </c>
      <c r="H151" t="s">
        <v>166</v>
      </c>
      <c r="I151" t="s">
        <v>165</v>
      </c>
      <c r="M151" t="s">
        <v>137</v>
      </c>
      <c r="N151" t="b">
        <v>0</v>
      </c>
      <c r="P151" s="12" t="s">
        <v>185</v>
      </c>
      <c r="Q151" s="12" t="s">
        <v>185</v>
      </c>
      <c r="R151" s="12">
        <v>210</v>
      </c>
      <c r="S151" t="s">
        <v>148</v>
      </c>
      <c r="T151" s="12" t="s">
        <v>168</v>
      </c>
      <c r="U151" s="12">
        <v>53</v>
      </c>
      <c r="V151" t="s">
        <v>148</v>
      </c>
      <c r="Z151" s="12">
        <v>120</v>
      </c>
      <c r="AA151" s="12" t="s">
        <v>169</v>
      </c>
      <c r="AB151" s="12">
        <v>140</v>
      </c>
      <c r="AC151" t="s">
        <v>148</v>
      </c>
      <c r="AD151" s="12" t="s">
        <v>170</v>
      </c>
      <c r="AE151" s="12" t="s">
        <v>144</v>
      </c>
      <c r="AF151" s="12" t="s">
        <v>171</v>
      </c>
      <c r="AG151" s="13" t="s">
        <v>172</v>
      </c>
      <c r="AH151" s="12" t="s">
        <v>173</v>
      </c>
      <c r="AI151" s="12" t="s">
        <v>145</v>
      </c>
      <c r="AJ151" s="12" t="s">
        <v>146</v>
      </c>
      <c r="AK151" s="12" t="s">
        <v>226</v>
      </c>
      <c r="AL151" s="12" t="s">
        <v>174</v>
      </c>
      <c r="AM151" s="12">
        <v>56</v>
      </c>
      <c r="AN151" t="s">
        <v>175</v>
      </c>
      <c r="AO151" s="12">
        <v>0</v>
      </c>
      <c r="AQ151" s="12" t="b">
        <v>0</v>
      </c>
      <c r="AR151" s="14" t="s">
        <v>177</v>
      </c>
      <c r="BR151" s="12" t="s">
        <v>178</v>
      </c>
      <c r="BV151" s="12" t="s">
        <v>179</v>
      </c>
      <c r="CF151" s="12" t="s">
        <v>180</v>
      </c>
      <c r="CS151" s="12" t="s">
        <v>181</v>
      </c>
      <c r="DA151" s="12">
        <v>1</v>
      </c>
      <c r="DB151" s="12">
        <v>2</v>
      </c>
      <c r="DN151" s="12" t="b">
        <v>0</v>
      </c>
      <c r="DQ151">
        <f t="shared" si="120"/>
        <v>1</v>
      </c>
      <c r="DR151">
        <f t="shared" si="121"/>
        <v>1</v>
      </c>
      <c r="DS151" cm="1">
        <f t="array" ref="DS151">IF(AF151="&lt;0.2 ips",1,O.5)</f>
        <v>1</v>
      </c>
      <c r="DT151">
        <v>0.2</v>
      </c>
      <c r="DU151">
        <v>0.7</v>
      </c>
      <c r="DV151">
        <v>1</v>
      </c>
      <c r="DW151">
        <v>0.9</v>
      </c>
      <c r="DX151">
        <f t="shared" si="122"/>
        <v>0.13999999999999999</v>
      </c>
      <c r="DY151">
        <f t="shared" si="123"/>
        <v>1302.018616056577</v>
      </c>
      <c r="DZ151">
        <f t="shared" si="124"/>
        <v>0.14863226210691519</v>
      </c>
      <c r="EA151">
        <f t="shared" si="125"/>
        <v>1.8</v>
      </c>
    </row>
    <row r="152" spans="1:131" hidden="1" x14ac:dyDescent="0.25">
      <c r="A152" t="s">
        <v>537</v>
      </c>
      <c r="B152" t="s">
        <v>447</v>
      </c>
      <c r="C152" t="s">
        <v>448</v>
      </c>
      <c r="D152" t="s">
        <v>530</v>
      </c>
      <c r="E152" t="s">
        <v>531</v>
      </c>
      <c r="F152" t="s">
        <v>229</v>
      </c>
      <c r="G152" t="s">
        <v>165</v>
      </c>
      <c r="H152" t="s">
        <v>166</v>
      </c>
      <c r="I152" t="s">
        <v>165</v>
      </c>
      <c r="M152" t="s">
        <v>137</v>
      </c>
      <c r="N152" t="b">
        <v>0</v>
      </c>
      <c r="P152" s="12" t="s">
        <v>185</v>
      </c>
      <c r="Q152" s="12" t="s">
        <v>185</v>
      </c>
      <c r="R152" s="12">
        <v>210</v>
      </c>
      <c r="S152" t="s">
        <v>148</v>
      </c>
      <c r="T152" s="12" t="s">
        <v>168</v>
      </c>
      <c r="U152" s="12">
        <v>53</v>
      </c>
      <c r="V152" t="s">
        <v>148</v>
      </c>
      <c r="Z152" s="12">
        <v>120</v>
      </c>
      <c r="AA152" s="12" t="s">
        <v>169</v>
      </c>
      <c r="AB152" s="12">
        <v>140</v>
      </c>
      <c r="AC152" t="s">
        <v>148</v>
      </c>
      <c r="AD152" s="12" t="s">
        <v>170</v>
      </c>
      <c r="AE152" s="12" t="s">
        <v>144</v>
      </c>
      <c r="AF152" s="12" t="s">
        <v>171</v>
      </c>
      <c r="AG152" s="13" t="s">
        <v>172</v>
      </c>
      <c r="AH152" s="12" t="s">
        <v>173</v>
      </c>
      <c r="AI152" s="12" t="s">
        <v>145</v>
      </c>
      <c r="AJ152" s="12" t="s">
        <v>146</v>
      </c>
      <c r="AK152" s="12" t="s">
        <v>226</v>
      </c>
      <c r="AL152" s="12" t="s">
        <v>174</v>
      </c>
      <c r="AM152" s="12">
        <v>56</v>
      </c>
      <c r="AN152" t="s">
        <v>175</v>
      </c>
      <c r="AO152" s="12">
        <v>0</v>
      </c>
      <c r="AQ152" s="12" t="b">
        <v>0</v>
      </c>
      <c r="AR152" s="14" t="s">
        <v>177</v>
      </c>
      <c r="BR152" s="12" t="s">
        <v>178</v>
      </c>
      <c r="BV152" s="12" t="s">
        <v>179</v>
      </c>
      <c r="CF152" s="12" t="s">
        <v>180</v>
      </c>
      <c r="CS152" s="12" t="s">
        <v>181</v>
      </c>
      <c r="DA152" s="12">
        <v>1</v>
      </c>
      <c r="DB152" s="12">
        <v>2</v>
      </c>
      <c r="DN152" s="12" t="b">
        <v>0</v>
      </c>
      <c r="DQ152">
        <f t="shared" si="120"/>
        <v>1</v>
      </c>
      <c r="DR152">
        <f t="shared" si="121"/>
        <v>1</v>
      </c>
      <c r="DS152" cm="1">
        <f t="array" ref="DS152">IF(AF152="&lt;0.2 ips",1,O.5)</f>
        <v>1</v>
      </c>
      <c r="DT152">
        <v>0.2</v>
      </c>
      <c r="DU152">
        <v>0.7</v>
      </c>
      <c r="DV152">
        <v>1</v>
      </c>
      <c r="DW152">
        <v>0.9</v>
      </c>
      <c r="DX152">
        <f t="shared" si="122"/>
        <v>0.13999999999999999</v>
      </c>
      <c r="DY152">
        <f t="shared" si="123"/>
        <v>1302.018616056577</v>
      </c>
      <c r="DZ152">
        <f t="shared" si="124"/>
        <v>0.14863226210691519</v>
      </c>
      <c r="EA152">
        <f t="shared" si="125"/>
        <v>1.8</v>
      </c>
    </row>
    <row r="153" spans="1:131" hidden="1" x14ac:dyDescent="0.25">
      <c r="A153" t="s">
        <v>538</v>
      </c>
      <c r="B153" t="s">
        <v>447</v>
      </c>
      <c r="C153" t="s">
        <v>448</v>
      </c>
      <c r="D153" t="s">
        <v>530</v>
      </c>
      <c r="E153" t="s">
        <v>531</v>
      </c>
      <c r="F153" t="s">
        <v>232</v>
      </c>
      <c r="G153" t="s">
        <v>165</v>
      </c>
      <c r="H153" t="s">
        <v>166</v>
      </c>
      <c r="I153" t="s">
        <v>165</v>
      </c>
      <c r="M153" t="s">
        <v>137</v>
      </c>
      <c r="N153" t="b">
        <v>0</v>
      </c>
      <c r="P153" s="12" t="s">
        <v>185</v>
      </c>
      <c r="Q153" s="12" t="s">
        <v>185</v>
      </c>
      <c r="R153" s="12">
        <v>210</v>
      </c>
      <c r="S153" t="s">
        <v>148</v>
      </c>
      <c r="T153" s="12" t="s">
        <v>168</v>
      </c>
      <c r="U153" s="12">
        <v>53</v>
      </c>
      <c r="V153" t="s">
        <v>148</v>
      </c>
      <c r="Z153" s="12">
        <v>120</v>
      </c>
      <c r="AA153" s="12" t="s">
        <v>169</v>
      </c>
      <c r="AB153" s="12">
        <v>140</v>
      </c>
      <c r="AC153" t="s">
        <v>148</v>
      </c>
      <c r="AD153" s="12" t="s">
        <v>170</v>
      </c>
      <c r="AE153" s="12" t="s">
        <v>144</v>
      </c>
      <c r="AF153" s="12" t="s">
        <v>171</v>
      </c>
      <c r="AG153" s="13" t="s">
        <v>172</v>
      </c>
      <c r="AH153" s="12" t="s">
        <v>173</v>
      </c>
      <c r="AI153" s="12" t="s">
        <v>145</v>
      </c>
      <c r="AJ153" s="12" t="s">
        <v>146</v>
      </c>
      <c r="AK153" s="12" t="s">
        <v>226</v>
      </c>
      <c r="AL153" s="12" t="s">
        <v>174</v>
      </c>
      <c r="AM153" s="12">
        <v>56</v>
      </c>
      <c r="AN153" t="s">
        <v>175</v>
      </c>
      <c r="AO153" s="12">
        <v>0</v>
      </c>
      <c r="AQ153" s="12" t="b">
        <v>0</v>
      </c>
      <c r="AR153" s="14" t="s">
        <v>177</v>
      </c>
      <c r="BR153" s="12" t="s">
        <v>155</v>
      </c>
      <c r="BV153" s="12" t="s">
        <v>179</v>
      </c>
      <c r="CF153" s="12" t="s">
        <v>180</v>
      </c>
      <c r="CS153" s="12" t="s">
        <v>181</v>
      </c>
      <c r="DA153" s="12">
        <v>1</v>
      </c>
      <c r="DB153" s="12">
        <v>2</v>
      </c>
      <c r="DN153" s="12" t="b">
        <v>0</v>
      </c>
      <c r="DQ153">
        <f t="shared" si="120"/>
        <v>1</v>
      </c>
      <c r="DR153">
        <f t="shared" si="121"/>
        <v>1</v>
      </c>
      <c r="DS153" cm="1">
        <f t="array" ref="DS153">IF(AF153="&lt;0.2 ips",1,O.5)</f>
        <v>1</v>
      </c>
      <c r="DT153">
        <v>0.2</v>
      </c>
      <c r="DU153">
        <v>0.7</v>
      </c>
      <c r="DV153">
        <v>1</v>
      </c>
      <c r="DW153">
        <v>0.9</v>
      </c>
      <c r="DX153">
        <f t="shared" si="122"/>
        <v>0.13999999999999999</v>
      </c>
      <c r="DY153">
        <f t="shared" si="123"/>
        <v>1302.018616056577</v>
      </c>
      <c r="DZ153">
        <f t="shared" si="124"/>
        <v>0.14863226210691519</v>
      </c>
      <c r="EA153">
        <f t="shared" si="125"/>
        <v>1.8</v>
      </c>
    </row>
    <row r="154" spans="1:131" hidden="1" x14ac:dyDescent="0.25">
      <c r="A154" t="s">
        <v>539</v>
      </c>
      <c r="B154" t="s">
        <v>447</v>
      </c>
      <c r="C154" t="s">
        <v>448</v>
      </c>
      <c r="D154" t="s">
        <v>530</v>
      </c>
      <c r="E154" t="s">
        <v>531</v>
      </c>
      <c r="F154" t="s">
        <v>540</v>
      </c>
      <c r="G154" t="s">
        <v>165</v>
      </c>
      <c r="H154" t="s">
        <v>166</v>
      </c>
      <c r="I154" t="s">
        <v>165</v>
      </c>
      <c r="M154" t="s">
        <v>137</v>
      </c>
      <c r="N154" t="b">
        <v>0</v>
      </c>
      <c r="P154" s="12" t="s">
        <v>185</v>
      </c>
      <c r="Q154" s="12" t="s">
        <v>185</v>
      </c>
      <c r="R154" s="12">
        <v>210</v>
      </c>
      <c r="S154" t="s">
        <v>148</v>
      </c>
      <c r="T154" s="12" t="s">
        <v>168</v>
      </c>
      <c r="U154" s="12">
        <v>53</v>
      </c>
      <c r="V154" t="s">
        <v>148</v>
      </c>
      <c r="Z154" s="12">
        <v>120</v>
      </c>
      <c r="AA154" s="12" t="s">
        <v>169</v>
      </c>
      <c r="AB154" s="12">
        <v>140</v>
      </c>
      <c r="AC154" t="s">
        <v>148</v>
      </c>
      <c r="AD154" s="12" t="s">
        <v>170</v>
      </c>
      <c r="AE154" s="12" t="s">
        <v>144</v>
      </c>
      <c r="AF154" s="12" t="s">
        <v>171</v>
      </c>
      <c r="AG154" s="13" t="s">
        <v>172</v>
      </c>
      <c r="AH154" s="12" t="s">
        <v>173</v>
      </c>
      <c r="AI154" s="12" t="s">
        <v>145</v>
      </c>
      <c r="AJ154" s="12" t="s">
        <v>146</v>
      </c>
      <c r="AK154" s="12" t="s">
        <v>226</v>
      </c>
      <c r="AL154" s="12" t="s">
        <v>174</v>
      </c>
      <c r="AM154" s="12">
        <v>56</v>
      </c>
      <c r="AN154" t="s">
        <v>175</v>
      </c>
      <c r="AO154" s="12">
        <v>0</v>
      </c>
      <c r="AQ154" s="12" t="b">
        <v>0</v>
      </c>
      <c r="AR154" s="14" t="s">
        <v>177</v>
      </c>
      <c r="BR154" s="12" t="s">
        <v>155</v>
      </c>
      <c r="BV154" s="12" t="s">
        <v>179</v>
      </c>
      <c r="CF154" s="12" t="s">
        <v>180</v>
      </c>
      <c r="CS154" s="12" t="s">
        <v>181</v>
      </c>
      <c r="DA154" s="12">
        <v>1</v>
      </c>
      <c r="DB154" s="12">
        <v>2</v>
      </c>
      <c r="DN154" s="12" t="b">
        <v>0</v>
      </c>
      <c r="DQ154">
        <f t="shared" si="120"/>
        <v>1</v>
      </c>
      <c r="DR154">
        <f t="shared" si="121"/>
        <v>1</v>
      </c>
      <c r="DS154" cm="1">
        <f t="array" ref="DS154">IF(AF154="&lt;0.2 ips",1,O.5)</f>
        <v>1</v>
      </c>
      <c r="DT154">
        <v>0.2</v>
      </c>
      <c r="DU154">
        <v>0.7</v>
      </c>
      <c r="DV154">
        <v>1</v>
      </c>
      <c r="DW154">
        <v>0.9</v>
      </c>
      <c r="DX154">
        <f t="shared" si="122"/>
        <v>0.13999999999999999</v>
      </c>
      <c r="DY154">
        <f t="shared" si="123"/>
        <v>1302.018616056577</v>
      </c>
      <c r="DZ154">
        <f t="shared" si="124"/>
        <v>0.14863226210691519</v>
      </c>
      <c r="EA154">
        <f t="shared" si="125"/>
        <v>1.8</v>
      </c>
    </row>
    <row r="155" spans="1:131" hidden="1" x14ac:dyDescent="0.25">
      <c r="A155" t="s">
        <v>541</v>
      </c>
      <c r="B155" t="s">
        <v>447</v>
      </c>
      <c r="C155" t="s">
        <v>448</v>
      </c>
      <c r="D155" t="s">
        <v>542</v>
      </c>
      <c r="E155" t="s">
        <v>543</v>
      </c>
      <c r="F155" t="s">
        <v>134</v>
      </c>
      <c r="G155" t="s">
        <v>135</v>
      </c>
      <c r="H155" t="s">
        <v>136</v>
      </c>
      <c r="I155" t="s">
        <v>135</v>
      </c>
      <c r="M155" t="s">
        <v>137</v>
      </c>
      <c r="N155" t="b">
        <v>0</v>
      </c>
      <c r="DB155" s="12"/>
      <c r="DV155">
        <f t="shared" ref="DV155:DV156" si="126">IF(AA157="Horizontal",1,0.5)</f>
        <v>1</v>
      </c>
    </row>
    <row r="156" spans="1:131" hidden="1" x14ac:dyDescent="0.25">
      <c r="A156" t="s">
        <v>544</v>
      </c>
      <c r="B156" t="s">
        <v>447</v>
      </c>
      <c r="C156" t="s">
        <v>448</v>
      </c>
      <c r="D156" t="s">
        <v>542</v>
      </c>
      <c r="E156" t="s">
        <v>543</v>
      </c>
      <c r="F156" t="s">
        <v>139</v>
      </c>
      <c r="G156" t="s">
        <v>140</v>
      </c>
      <c r="H156" t="s">
        <v>141</v>
      </c>
      <c r="I156" t="s">
        <v>142</v>
      </c>
      <c r="M156" t="s">
        <v>137</v>
      </c>
      <c r="N156" t="b">
        <v>0</v>
      </c>
      <c r="Y156" s="12"/>
      <c r="AE156" s="12" t="s">
        <v>205</v>
      </c>
      <c r="AI156" s="12" t="s">
        <v>145</v>
      </c>
      <c r="AJ156" s="12" t="s">
        <v>146</v>
      </c>
      <c r="AK156" s="12" t="s">
        <v>226</v>
      </c>
      <c r="AR156" s="12" t="str">
        <f>HYPERLINK("https://www.google.com/search?q=Ralpe RTDH-180","Ralpe RTDH-180")</f>
        <v>Ralpe RTDH-180</v>
      </c>
      <c r="AS156">
        <v>350</v>
      </c>
      <c r="AT156" t="s">
        <v>148</v>
      </c>
      <c r="AU156">
        <v>250</v>
      </c>
      <c r="AV156" t="s">
        <v>148</v>
      </c>
      <c r="AW156">
        <v>700</v>
      </c>
      <c r="AX156" t="s">
        <v>148</v>
      </c>
      <c r="AY156" s="12">
        <v>12</v>
      </c>
      <c r="AZ156" t="s">
        <v>149</v>
      </c>
      <c r="BF156" s="12" t="s">
        <v>150</v>
      </c>
      <c r="BH156" s="12" t="s">
        <v>151</v>
      </c>
      <c r="BI156" s="12" t="s">
        <v>152</v>
      </c>
      <c r="BL156" s="12" t="s">
        <v>159</v>
      </c>
      <c r="BN156" s="12" t="s">
        <v>154</v>
      </c>
      <c r="BP156" s="12" t="s">
        <v>155</v>
      </c>
      <c r="BT156" s="12" t="s">
        <v>156</v>
      </c>
      <c r="BV156" s="12" t="s">
        <v>157</v>
      </c>
      <c r="BY156" s="12" t="s">
        <v>155</v>
      </c>
      <c r="CA156" s="12" t="s">
        <v>158</v>
      </c>
      <c r="CD156" s="12">
        <v>200</v>
      </c>
      <c r="CE156" t="s">
        <v>148</v>
      </c>
      <c r="CH156" s="12" t="s">
        <v>159</v>
      </c>
      <c r="CU156" s="12" t="s">
        <v>333</v>
      </c>
      <c r="DC156" s="12" t="b">
        <v>1</v>
      </c>
      <c r="DD156" s="12" t="s">
        <v>219</v>
      </c>
      <c r="DG156" s="12" t="s">
        <v>161</v>
      </c>
      <c r="DV156">
        <f t="shared" si="126"/>
        <v>1</v>
      </c>
    </row>
    <row r="157" spans="1:131" hidden="1" x14ac:dyDescent="0.25">
      <c r="A157" t="s">
        <v>545</v>
      </c>
      <c r="B157" t="s">
        <v>447</v>
      </c>
      <c r="C157" t="s">
        <v>448</v>
      </c>
      <c r="D157" t="s">
        <v>542</v>
      </c>
      <c r="E157" t="s">
        <v>543</v>
      </c>
      <c r="F157" t="s">
        <v>164</v>
      </c>
      <c r="G157" t="s">
        <v>165</v>
      </c>
      <c r="H157" t="s">
        <v>166</v>
      </c>
      <c r="I157" t="s">
        <v>165</v>
      </c>
      <c r="M157" t="s">
        <v>137</v>
      </c>
      <c r="N157" t="b">
        <v>0</v>
      </c>
      <c r="P157" s="12" t="s">
        <v>185</v>
      </c>
      <c r="Q157" s="12" t="s">
        <v>185</v>
      </c>
      <c r="R157" s="12">
        <v>210</v>
      </c>
      <c r="S157" t="s">
        <v>148</v>
      </c>
      <c r="T157" s="12" t="s">
        <v>168</v>
      </c>
      <c r="U157" s="12">
        <v>53</v>
      </c>
      <c r="V157" t="s">
        <v>148</v>
      </c>
      <c r="Z157" s="12">
        <v>120</v>
      </c>
      <c r="AA157" s="12" t="s">
        <v>169</v>
      </c>
      <c r="AB157" s="12">
        <v>140</v>
      </c>
      <c r="AC157" t="s">
        <v>148</v>
      </c>
      <c r="AD157" s="12" t="s">
        <v>170</v>
      </c>
      <c r="AE157" s="12" t="s">
        <v>144</v>
      </c>
      <c r="AF157" s="12" t="s">
        <v>171</v>
      </c>
      <c r="AG157" s="13" t="s">
        <v>172</v>
      </c>
      <c r="AH157" s="12" t="s">
        <v>173</v>
      </c>
      <c r="AI157" s="12" t="s">
        <v>145</v>
      </c>
      <c r="AJ157" s="12" t="s">
        <v>146</v>
      </c>
      <c r="AK157" s="12" t="s">
        <v>226</v>
      </c>
      <c r="AL157" s="12" t="s">
        <v>174</v>
      </c>
      <c r="AM157" s="12">
        <v>56</v>
      </c>
      <c r="AN157" t="s">
        <v>175</v>
      </c>
      <c r="AO157" s="12">
        <v>0</v>
      </c>
      <c r="AQ157" s="12" t="b">
        <v>0</v>
      </c>
      <c r="AR157" s="14" t="s">
        <v>177</v>
      </c>
      <c r="BR157" s="12" t="s">
        <v>178</v>
      </c>
      <c r="BV157" s="12" t="s">
        <v>179</v>
      </c>
      <c r="CF157" s="12" t="s">
        <v>180</v>
      </c>
      <c r="CS157" s="12" t="s">
        <v>181</v>
      </c>
      <c r="DA157" s="12">
        <v>1</v>
      </c>
      <c r="DB157" s="12">
        <v>2</v>
      </c>
      <c r="DN157" s="12" t="b">
        <v>0</v>
      </c>
      <c r="DQ157">
        <f t="shared" ref="DQ157:DQ158" si="127">IF(T157="Tapered/Spherical",1,0)</f>
        <v>1</v>
      </c>
      <c r="DR157">
        <f t="shared" ref="DR157:DR160" si="128">IF(AE157="125°F (51.7°C) - 150°F (65.6°C)",1,0.5)</f>
        <v>1</v>
      </c>
      <c r="DS157" cm="1">
        <f t="array" ref="DS157">IF(AF157="&lt;0.2 ips",1,O.5)</f>
        <v>1</v>
      </c>
      <c r="DT157">
        <v>0.2</v>
      </c>
      <c r="DU157">
        <v>0.7</v>
      </c>
      <c r="DV157">
        <v>1</v>
      </c>
      <c r="DW157">
        <v>0.9</v>
      </c>
      <c r="DX157">
        <f t="shared" ref="DX157:DX160" si="129">PRODUCT(DQ157:DV157)</f>
        <v>0.13999999999999999</v>
      </c>
      <c r="DY157">
        <f t="shared" ref="DY157:DY160" si="130">+DX157*((14000000/(Z157*AB157^0.5))-4*AB157)</f>
        <v>1302.018616056577</v>
      </c>
      <c r="DZ157">
        <f t="shared" ref="DZ157:DZ160" si="131">+DY157/8760</f>
        <v>0.14863226210691519</v>
      </c>
      <c r="EA157">
        <f t="shared" ref="EA157:EA160" si="132">ROUND(+DZ157*12,1)</f>
        <v>1.8</v>
      </c>
    </row>
    <row r="158" spans="1:131" hidden="1" x14ac:dyDescent="0.25">
      <c r="A158" t="s">
        <v>546</v>
      </c>
      <c r="B158" t="s">
        <v>447</v>
      </c>
      <c r="C158" t="s">
        <v>448</v>
      </c>
      <c r="D158" t="s">
        <v>542</v>
      </c>
      <c r="E158" t="s">
        <v>543</v>
      </c>
      <c r="F158" t="s">
        <v>223</v>
      </c>
      <c r="G158" t="s">
        <v>165</v>
      </c>
      <c r="H158" t="s">
        <v>166</v>
      </c>
      <c r="I158" t="s">
        <v>165</v>
      </c>
      <c r="M158" t="s">
        <v>137</v>
      </c>
      <c r="N158" t="b">
        <v>0</v>
      </c>
      <c r="P158" s="12" t="s">
        <v>185</v>
      </c>
      <c r="Q158" s="12" t="s">
        <v>185</v>
      </c>
      <c r="R158" s="12">
        <v>210</v>
      </c>
      <c r="S158" t="s">
        <v>148</v>
      </c>
      <c r="T158" s="12" t="s">
        <v>168</v>
      </c>
      <c r="U158" s="12">
        <v>53</v>
      </c>
      <c r="V158" t="s">
        <v>148</v>
      </c>
      <c r="Z158" s="12">
        <v>120</v>
      </c>
      <c r="AA158" s="12" t="s">
        <v>169</v>
      </c>
      <c r="AB158" s="12">
        <v>140</v>
      </c>
      <c r="AC158" t="s">
        <v>148</v>
      </c>
      <c r="AD158" s="12" t="s">
        <v>170</v>
      </c>
      <c r="AE158" s="12" t="s">
        <v>144</v>
      </c>
      <c r="AF158" s="12" t="s">
        <v>171</v>
      </c>
      <c r="AG158" s="13" t="s">
        <v>172</v>
      </c>
      <c r="AH158" s="12" t="s">
        <v>173</v>
      </c>
      <c r="AI158" s="12" t="s">
        <v>145</v>
      </c>
      <c r="AJ158" s="12" t="s">
        <v>146</v>
      </c>
      <c r="AK158" s="12" t="s">
        <v>226</v>
      </c>
      <c r="AL158" s="12" t="s">
        <v>174</v>
      </c>
      <c r="AM158" s="12">
        <v>56</v>
      </c>
      <c r="AN158" t="s">
        <v>175</v>
      </c>
      <c r="AO158" s="12">
        <v>0</v>
      </c>
      <c r="AQ158" s="12" t="b">
        <v>0</v>
      </c>
      <c r="AR158" s="14" t="s">
        <v>177</v>
      </c>
      <c r="BR158" s="12" t="s">
        <v>178</v>
      </c>
      <c r="BV158" s="12" t="s">
        <v>179</v>
      </c>
      <c r="CF158" s="12" t="s">
        <v>180</v>
      </c>
      <c r="CS158" s="12" t="s">
        <v>181</v>
      </c>
      <c r="DA158" s="12">
        <v>1</v>
      </c>
      <c r="DB158" s="12">
        <v>2</v>
      </c>
      <c r="DN158" s="12" t="b">
        <v>0</v>
      </c>
      <c r="DQ158">
        <f t="shared" si="127"/>
        <v>1</v>
      </c>
      <c r="DR158">
        <f t="shared" si="128"/>
        <v>1</v>
      </c>
      <c r="DS158" cm="1">
        <f t="array" ref="DS158">IF(AF158="&lt;0.2 ips",1,O.5)</f>
        <v>1</v>
      </c>
      <c r="DT158">
        <v>0.2</v>
      </c>
      <c r="DU158">
        <v>0.7</v>
      </c>
      <c r="DV158">
        <v>1</v>
      </c>
      <c r="DW158">
        <v>0.9</v>
      </c>
      <c r="DX158">
        <f t="shared" si="129"/>
        <v>0.13999999999999999</v>
      </c>
      <c r="DY158">
        <f t="shared" si="130"/>
        <v>1302.018616056577</v>
      </c>
      <c r="DZ158">
        <f t="shared" si="131"/>
        <v>0.14863226210691519</v>
      </c>
      <c r="EA158">
        <f t="shared" si="132"/>
        <v>1.8</v>
      </c>
    </row>
    <row r="159" spans="1:131" hidden="1" x14ac:dyDescent="0.25">
      <c r="A159" t="s">
        <v>547</v>
      </c>
      <c r="B159" t="s">
        <v>447</v>
      </c>
      <c r="C159" t="s">
        <v>448</v>
      </c>
      <c r="D159" t="s">
        <v>548</v>
      </c>
      <c r="E159" t="s">
        <v>549</v>
      </c>
      <c r="F159" t="s">
        <v>134</v>
      </c>
      <c r="G159" t="s">
        <v>201</v>
      </c>
      <c r="H159" t="s">
        <v>202</v>
      </c>
      <c r="I159" t="s">
        <v>201</v>
      </c>
      <c r="M159" t="s">
        <v>137</v>
      </c>
      <c r="N159" t="b">
        <v>0</v>
      </c>
      <c r="P159" s="12"/>
      <c r="Q159" s="12"/>
      <c r="T159" t="s">
        <v>203</v>
      </c>
      <c r="X159" s="12" t="s">
        <v>262</v>
      </c>
      <c r="Y159" s="12">
        <v>90</v>
      </c>
      <c r="Z159" s="12">
        <v>1500</v>
      </c>
      <c r="AA159" s="12" t="s">
        <v>169</v>
      </c>
      <c r="AB159">
        <v>90</v>
      </c>
      <c r="AC159" t="s">
        <v>148</v>
      </c>
      <c r="AE159" s="12" t="s">
        <v>144</v>
      </c>
      <c r="AF159" s="12" t="s">
        <v>171</v>
      </c>
      <c r="AI159" s="12" t="s">
        <v>206</v>
      </c>
      <c r="AJ159" s="12" t="s">
        <v>146</v>
      </c>
      <c r="AK159" s="12" t="s">
        <v>147</v>
      </c>
      <c r="AL159" s="12" t="s">
        <v>174</v>
      </c>
      <c r="AM159" s="12">
        <v>35</v>
      </c>
      <c r="AN159" t="s">
        <v>175</v>
      </c>
      <c r="AO159" s="12">
        <v>6</v>
      </c>
      <c r="AP159" t="s">
        <v>176</v>
      </c>
      <c r="AQ159" s="12" t="b">
        <v>1</v>
      </c>
      <c r="AR159" s="12" t="str">
        <f>HYPERLINK("https://www.google.com/search?q=","")</f>
        <v/>
      </c>
      <c r="BR159" s="12" t="s">
        <v>155</v>
      </c>
      <c r="BV159" s="12" t="s">
        <v>210</v>
      </c>
      <c r="CF159" s="12" t="s">
        <v>187</v>
      </c>
      <c r="CS159" s="12" t="s">
        <v>181</v>
      </c>
      <c r="DA159" s="12">
        <v>2</v>
      </c>
      <c r="DN159" s="12" t="b">
        <v>0</v>
      </c>
      <c r="DQ159">
        <f t="shared" ref="DQ159:DQ160" si="133">IF(T159="Ball",10,0)</f>
        <v>10</v>
      </c>
      <c r="DR159">
        <f t="shared" si="128"/>
        <v>1</v>
      </c>
      <c r="DS159" cm="1">
        <f t="array" ref="DS159">IF(AF159="&lt;0.2 ips",1,O.5)</f>
        <v>1</v>
      </c>
      <c r="DT159">
        <v>0.2</v>
      </c>
      <c r="DU159">
        <v>1</v>
      </c>
      <c r="DV159">
        <v>1</v>
      </c>
      <c r="DW159">
        <v>0.9</v>
      </c>
      <c r="DX159">
        <f t="shared" si="129"/>
        <v>2</v>
      </c>
      <c r="DY159">
        <f t="shared" si="130"/>
        <v>1247.6394329936581</v>
      </c>
      <c r="DZ159">
        <f t="shared" si="131"/>
        <v>0.14242459280749523</v>
      </c>
      <c r="EA159">
        <f t="shared" si="132"/>
        <v>1.7</v>
      </c>
    </row>
    <row r="160" spans="1:131" hidden="1" x14ac:dyDescent="0.25">
      <c r="A160" t="s">
        <v>550</v>
      </c>
      <c r="B160" t="s">
        <v>447</v>
      </c>
      <c r="C160" t="s">
        <v>448</v>
      </c>
      <c r="D160" t="s">
        <v>548</v>
      </c>
      <c r="E160" t="s">
        <v>549</v>
      </c>
      <c r="F160" t="s">
        <v>134</v>
      </c>
      <c r="G160" t="s">
        <v>201</v>
      </c>
      <c r="H160" t="s">
        <v>212</v>
      </c>
      <c r="I160" t="s">
        <v>201</v>
      </c>
      <c r="M160" t="s">
        <v>137</v>
      </c>
      <c r="N160" t="b">
        <v>0</v>
      </c>
      <c r="P160" s="12"/>
      <c r="Q160" s="12"/>
      <c r="T160" t="s">
        <v>203</v>
      </c>
      <c r="X160" s="12" t="s">
        <v>262</v>
      </c>
      <c r="Y160" s="12">
        <v>90</v>
      </c>
      <c r="Z160" s="12">
        <v>1500</v>
      </c>
      <c r="AA160" s="12" t="s">
        <v>169</v>
      </c>
      <c r="AB160">
        <v>90</v>
      </c>
      <c r="AC160" t="s">
        <v>148</v>
      </c>
      <c r="AE160" s="12" t="s">
        <v>144</v>
      </c>
      <c r="AF160" s="12" t="s">
        <v>171</v>
      </c>
      <c r="AI160" s="12" t="s">
        <v>206</v>
      </c>
      <c r="AJ160" s="12" t="s">
        <v>146</v>
      </c>
      <c r="AK160" s="12" t="s">
        <v>147</v>
      </c>
      <c r="AL160" s="12" t="s">
        <v>174</v>
      </c>
      <c r="AM160" s="12">
        <v>35</v>
      </c>
      <c r="AN160" t="s">
        <v>175</v>
      </c>
      <c r="AO160" s="12">
        <v>6</v>
      </c>
      <c r="AP160" t="s">
        <v>176</v>
      </c>
      <c r="AQ160" s="12" t="b">
        <v>1</v>
      </c>
      <c r="AR160" s="12" t="str">
        <f>HYPERLINK("https://www.google.com/search?q=","")</f>
        <v/>
      </c>
      <c r="BR160" s="12" t="s">
        <v>155</v>
      </c>
      <c r="BV160" s="12" t="s">
        <v>210</v>
      </c>
      <c r="CF160" s="12" t="s">
        <v>187</v>
      </c>
      <c r="CS160" s="12" t="s">
        <v>181</v>
      </c>
      <c r="DA160" s="12">
        <v>2</v>
      </c>
      <c r="DN160" s="12" t="b">
        <v>0</v>
      </c>
      <c r="DQ160">
        <f t="shared" si="133"/>
        <v>10</v>
      </c>
      <c r="DR160">
        <f t="shared" si="128"/>
        <v>1</v>
      </c>
      <c r="DS160" cm="1">
        <f t="array" ref="DS160">IF(AF160="&lt;0.2 ips",1,O.5)</f>
        <v>1</v>
      </c>
      <c r="DT160">
        <v>0.2</v>
      </c>
      <c r="DU160">
        <v>1</v>
      </c>
      <c r="DV160">
        <v>1</v>
      </c>
      <c r="DW160">
        <v>0.9</v>
      </c>
      <c r="DX160">
        <f t="shared" si="129"/>
        <v>2</v>
      </c>
      <c r="DY160">
        <f t="shared" si="130"/>
        <v>1247.6394329936581</v>
      </c>
      <c r="DZ160">
        <f t="shared" si="131"/>
        <v>0.14242459280749523</v>
      </c>
      <c r="EA160">
        <f t="shared" si="132"/>
        <v>1.7</v>
      </c>
    </row>
    <row r="161" spans="1:131" hidden="1" x14ac:dyDescent="0.25">
      <c r="A161" t="s">
        <v>551</v>
      </c>
      <c r="B161" t="s">
        <v>447</v>
      </c>
      <c r="C161" t="s">
        <v>448</v>
      </c>
      <c r="D161" t="s">
        <v>548</v>
      </c>
      <c r="E161" t="s">
        <v>549</v>
      </c>
      <c r="F161" t="s">
        <v>139</v>
      </c>
      <c r="G161" t="s">
        <v>140</v>
      </c>
      <c r="H161" t="s">
        <v>141</v>
      </c>
      <c r="I161" t="s">
        <v>142</v>
      </c>
      <c r="M161" t="s">
        <v>137</v>
      </c>
      <c r="N161" t="b">
        <v>0</v>
      </c>
      <c r="Y161" s="12"/>
      <c r="AE161" s="12" t="s">
        <v>144</v>
      </c>
      <c r="AI161" s="12" t="s">
        <v>145</v>
      </c>
      <c r="AJ161" s="12" t="s">
        <v>146</v>
      </c>
      <c r="AK161" s="12" t="s">
        <v>147</v>
      </c>
      <c r="AR161" s="12" t="str">
        <f>HYPERLINK("https://www.google.com/search?q=Ralpe RTTH-400","Ralpe RTTH-400")</f>
        <v>Ralpe RTTH-400</v>
      </c>
      <c r="AS161">
        <v>800</v>
      </c>
      <c r="AT161" t="s">
        <v>148</v>
      </c>
      <c r="AU161">
        <v>500</v>
      </c>
      <c r="AV161" t="s">
        <v>148</v>
      </c>
      <c r="AW161">
        <v>1400</v>
      </c>
      <c r="AX161" t="s">
        <v>148</v>
      </c>
      <c r="AY161" s="12">
        <v>170</v>
      </c>
      <c r="AZ161" t="s">
        <v>149</v>
      </c>
      <c r="BF161" s="12" t="s">
        <v>150</v>
      </c>
      <c r="BH161" s="12" t="s">
        <v>151</v>
      </c>
      <c r="BI161" s="12" t="s">
        <v>152</v>
      </c>
      <c r="BL161" s="12" t="s">
        <v>153</v>
      </c>
      <c r="BN161" s="12" t="s">
        <v>154</v>
      </c>
      <c r="BP161" s="12" t="s">
        <v>155</v>
      </c>
      <c r="BT161" s="12" t="s">
        <v>156</v>
      </c>
      <c r="BV161" s="12" t="s">
        <v>157</v>
      </c>
      <c r="BY161" s="12" t="s">
        <v>155</v>
      </c>
      <c r="CA161" s="12" t="s">
        <v>218</v>
      </c>
      <c r="CD161" s="12">
        <v>320</v>
      </c>
      <c r="CE161" t="s">
        <v>148</v>
      </c>
      <c r="CH161" s="12" t="s">
        <v>159</v>
      </c>
      <c r="CU161" s="12" t="s">
        <v>159</v>
      </c>
      <c r="DC161" s="12" t="b">
        <v>1</v>
      </c>
      <c r="DD161" s="12" t="s">
        <v>219</v>
      </c>
      <c r="DG161" s="12" t="s">
        <v>161</v>
      </c>
      <c r="DV161">
        <f t="shared" ref="DV161" si="134">IF(AA163="Horizontal",1,0.5)</f>
        <v>1</v>
      </c>
    </row>
    <row r="162" spans="1:131" hidden="1" x14ac:dyDescent="0.25">
      <c r="A162" t="s">
        <v>552</v>
      </c>
      <c r="B162" t="s">
        <v>447</v>
      </c>
      <c r="C162" t="s">
        <v>448</v>
      </c>
      <c r="D162" t="s">
        <v>548</v>
      </c>
      <c r="E162" t="s">
        <v>549</v>
      </c>
      <c r="F162" t="s">
        <v>164</v>
      </c>
      <c r="G162" t="s">
        <v>165</v>
      </c>
      <c r="H162" t="s">
        <v>166</v>
      </c>
      <c r="I162" t="s">
        <v>165</v>
      </c>
      <c r="L162" t="s">
        <v>553</v>
      </c>
      <c r="M162" t="s">
        <v>137</v>
      </c>
      <c r="N162" t="b">
        <v>0</v>
      </c>
      <c r="P162" s="12" t="s">
        <v>554</v>
      </c>
      <c r="Q162" s="12" t="s">
        <v>554</v>
      </c>
      <c r="R162" s="12">
        <v>340</v>
      </c>
      <c r="S162" t="s">
        <v>148</v>
      </c>
      <c r="T162" s="12" t="s">
        <v>168</v>
      </c>
      <c r="U162" s="12">
        <v>90</v>
      </c>
      <c r="V162" t="s">
        <v>148</v>
      </c>
      <c r="Z162" s="12">
        <v>120</v>
      </c>
      <c r="AA162" s="12" t="s">
        <v>169</v>
      </c>
      <c r="AB162" s="12">
        <v>220</v>
      </c>
      <c r="AC162" t="s">
        <v>148</v>
      </c>
      <c r="AD162" s="12" t="s">
        <v>170</v>
      </c>
      <c r="AE162" s="12" t="s">
        <v>144</v>
      </c>
      <c r="AF162" s="12" t="s">
        <v>171</v>
      </c>
      <c r="AG162" s="13" t="s">
        <v>172</v>
      </c>
      <c r="AH162" s="12" t="s">
        <v>173</v>
      </c>
      <c r="AI162" s="12" t="s">
        <v>145</v>
      </c>
      <c r="AJ162" s="12" t="s">
        <v>146</v>
      </c>
      <c r="AK162" s="12" t="s">
        <v>226</v>
      </c>
      <c r="AL162" s="12" t="s">
        <v>174</v>
      </c>
      <c r="AM162" s="12">
        <v>153</v>
      </c>
      <c r="AN162" t="s">
        <v>175</v>
      </c>
      <c r="AO162" s="12">
        <v>-3742</v>
      </c>
      <c r="AQ162" s="12" t="b">
        <v>0</v>
      </c>
      <c r="AR162" s="14" t="s">
        <v>177</v>
      </c>
      <c r="BR162" s="12" t="s">
        <v>155</v>
      </c>
      <c r="BV162" s="12" t="s">
        <v>179</v>
      </c>
      <c r="CF162" s="12" t="s">
        <v>268</v>
      </c>
      <c r="CS162" s="12" t="s">
        <v>181</v>
      </c>
      <c r="DA162" s="12">
        <v>1</v>
      </c>
      <c r="DB162" s="12">
        <v>2</v>
      </c>
      <c r="DF162" t="s">
        <v>178</v>
      </c>
      <c r="DN162" s="12" t="b">
        <v>0</v>
      </c>
      <c r="DQ162">
        <f t="shared" ref="DQ162:DQ169" si="135">IF(T162="Tapered/Spherical",1,0)</f>
        <v>1</v>
      </c>
      <c r="DR162">
        <f t="shared" ref="DR162:DR169" si="136">IF(AE162="125°F (51.7°C) - 150°F (65.6°C)",1,0.5)</f>
        <v>1</v>
      </c>
      <c r="DS162" cm="1">
        <f t="array" ref="DS162">IF(AF162="&lt;0.2 ips",1,O.5)</f>
        <v>1</v>
      </c>
      <c r="DT162">
        <v>0.2</v>
      </c>
      <c r="DU162">
        <v>0.7</v>
      </c>
      <c r="DV162">
        <v>1</v>
      </c>
      <c r="DW162">
        <v>0.9</v>
      </c>
      <c r="DX162">
        <f t="shared" ref="DX162:DX169" si="137">PRODUCT(DQ162:DV162)</f>
        <v>0.13999999999999999</v>
      </c>
      <c r="DY162">
        <f t="shared" ref="DY162:DY169" si="138">+DX162*((14000000/(Z162*AB162^0.5))-4*AB162)</f>
        <v>977.99310868996201</v>
      </c>
      <c r="DZ162">
        <f t="shared" ref="DZ162:DZ169" si="139">+DY162/8760</f>
        <v>0.11164304893721028</v>
      </c>
      <c r="EA162">
        <f t="shared" ref="EA162:EA169" si="140">ROUND(+DZ162*12,1)</f>
        <v>1.3</v>
      </c>
    </row>
    <row r="163" spans="1:131" hidden="1" x14ac:dyDescent="0.25">
      <c r="A163" t="s">
        <v>555</v>
      </c>
      <c r="B163" t="s">
        <v>447</v>
      </c>
      <c r="C163" t="s">
        <v>448</v>
      </c>
      <c r="D163" t="s">
        <v>548</v>
      </c>
      <c r="E163" t="s">
        <v>549</v>
      </c>
      <c r="F163" t="s">
        <v>223</v>
      </c>
      <c r="G163" t="s">
        <v>165</v>
      </c>
      <c r="H163" t="s">
        <v>166</v>
      </c>
      <c r="I163" t="s">
        <v>165</v>
      </c>
      <c r="M163" t="s">
        <v>137</v>
      </c>
      <c r="N163" t="b">
        <v>0</v>
      </c>
      <c r="P163" s="12" t="s">
        <v>167</v>
      </c>
      <c r="Q163" s="12" t="s">
        <v>167</v>
      </c>
      <c r="R163" s="12">
        <v>160</v>
      </c>
      <c r="S163" t="s">
        <v>148</v>
      </c>
      <c r="T163" s="12" t="s">
        <v>168</v>
      </c>
      <c r="U163" s="12">
        <v>60</v>
      </c>
      <c r="V163" t="s">
        <v>148</v>
      </c>
      <c r="Z163" s="12">
        <v>120</v>
      </c>
      <c r="AA163" s="12" t="s">
        <v>169</v>
      </c>
      <c r="AB163" s="12">
        <v>160</v>
      </c>
      <c r="AC163" t="s">
        <v>148</v>
      </c>
      <c r="AD163" s="12" t="s">
        <v>170</v>
      </c>
      <c r="AE163" s="12" t="s">
        <v>144</v>
      </c>
      <c r="AF163" s="12" t="s">
        <v>171</v>
      </c>
      <c r="AG163" s="13" t="s">
        <v>172</v>
      </c>
      <c r="AH163" s="12" t="s">
        <v>173</v>
      </c>
      <c r="AI163" s="12" t="s">
        <v>145</v>
      </c>
      <c r="AJ163" s="12" t="s">
        <v>146</v>
      </c>
      <c r="AK163" s="12" t="s">
        <v>226</v>
      </c>
      <c r="AL163" s="12" t="s">
        <v>174</v>
      </c>
      <c r="AM163" s="12">
        <v>48</v>
      </c>
      <c r="AN163" t="s">
        <v>175</v>
      </c>
      <c r="AO163" s="12">
        <v>0</v>
      </c>
      <c r="AQ163" s="12" t="b">
        <v>0</v>
      </c>
      <c r="AR163" s="14" t="s">
        <v>177</v>
      </c>
      <c r="BR163" s="12" t="s">
        <v>178</v>
      </c>
      <c r="BV163" s="12" t="s">
        <v>179</v>
      </c>
      <c r="CF163" s="12" t="s">
        <v>180</v>
      </c>
      <c r="CS163" s="12" t="s">
        <v>181</v>
      </c>
      <c r="DA163" s="12">
        <v>1</v>
      </c>
      <c r="DB163" s="12">
        <v>2</v>
      </c>
      <c r="DN163" s="12" t="b">
        <v>0</v>
      </c>
      <c r="DQ163">
        <f t="shared" si="135"/>
        <v>1</v>
      </c>
      <c r="DR163">
        <f t="shared" si="136"/>
        <v>1</v>
      </c>
      <c r="DS163" cm="1">
        <f t="array" ref="DS163">IF(AF163="&lt;0.2 ips",1,O.5)</f>
        <v>1</v>
      </c>
      <c r="DT163">
        <v>0.2</v>
      </c>
      <c r="DU163">
        <v>0.7</v>
      </c>
      <c r="DV163">
        <v>1</v>
      </c>
      <c r="DW163">
        <v>0.9</v>
      </c>
      <c r="DX163">
        <f t="shared" si="137"/>
        <v>0.13999999999999999</v>
      </c>
      <c r="DY163">
        <f t="shared" si="138"/>
        <v>1201.6633779020881</v>
      </c>
      <c r="DZ163">
        <f t="shared" si="139"/>
        <v>0.1371761846920192</v>
      </c>
      <c r="EA163">
        <f t="shared" si="140"/>
        <v>1.6</v>
      </c>
    </row>
    <row r="164" spans="1:131" hidden="1" x14ac:dyDescent="0.25">
      <c r="A164" t="s">
        <v>556</v>
      </c>
      <c r="B164" t="s">
        <v>447</v>
      </c>
      <c r="C164" t="s">
        <v>448</v>
      </c>
      <c r="D164" t="s">
        <v>548</v>
      </c>
      <c r="E164" t="s">
        <v>549</v>
      </c>
      <c r="F164" t="s">
        <v>557</v>
      </c>
      <c r="G164" t="s">
        <v>165</v>
      </c>
      <c r="H164" t="s">
        <v>166</v>
      </c>
      <c r="I164" t="s">
        <v>165</v>
      </c>
      <c r="L164" t="s">
        <v>553</v>
      </c>
      <c r="M164" t="s">
        <v>137</v>
      </c>
      <c r="N164" t="b">
        <v>0</v>
      </c>
      <c r="P164" s="12" t="s">
        <v>558</v>
      </c>
      <c r="Q164" s="12" t="s">
        <v>558</v>
      </c>
      <c r="R164" s="12">
        <v>210</v>
      </c>
      <c r="S164" t="s">
        <v>148</v>
      </c>
      <c r="T164" s="12" t="s">
        <v>168</v>
      </c>
      <c r="U164" s="12">
        <v>53</v>
      </c>
      <c r="V164" t="s">
        <v>148</v>
      </c>
      <c r="Y164" s="14" t="s">
        <v>177</v>
      </c>
      <c r="Z164" s="12">
        <v>120</v>
      </c>
      <c r="AA164" s="12" t="s">
        <v>169</v>
      </c>
      <c r="AB164" s="12">
        <v>140</v>
      </c>
      <c r="AC164" t="s">
        <v>148</v>
      </c>
      <c r="AD164" s="12"/>
      <c r="AE164" s="12" t="s">
        <v>144</v>
      </c>
      <c r="AF164" s="12" t="s">
        <v>171</v>
      </c>
      <c r="AG164" s="13" t="s">
        <v>172</v>
      </c>
      <c r="AH164" s="12" t="s">
        <v>173</v>
      </c>
      <c r="AI164" s="12" t="s">
        <v>145</v>
      </c>
      <c r="AJ164" s="12" t="s">
        <v>146</v>
      </c>
      <c r="AK164" s="12" t="s">
        <v>226</v>
      </c>
      <c r="AL164" s="12" t="s">
        <v>174</v>
      </c>
      <c r="AM164" s="12">
        <v>56</v>
      </c>
      <c r="AN164" t="s">
        <v>175</v>
      </c>
      <c r="AO164" s="12">
        <v>0</v>
      </c>
      <c r="AP164" t="s">
        <v>186</v>
      </c>
      <c r="AQ164" s="12" t="b">
        <v>0</v>
      </c>
      <c r="BR164" s="12" t="s">
        <v>155</v>
      </c>
      <c r="BV164" s="12" t="s">
        <v>179</v>
      </c>
      <c r="CF164" s="12" t="s">
        <v>268</v>
      </c>
      <c r="CS164" s="12" t="s">
        <v>181</v>
      </c>
      <c r="DA164" s="12">
        <v>1</v>
      </c>
      <c r="DB164" s="12">
        <v>2</v>
      </c>
      <c r="DF164" t="s">
        <v>178</v>
      </c>
      <c r="DN164" s="12" t="b">
        <v>0</v>
      </c>
      <c r="DQ164">
        <f t="shared" si="135"/>
        <v>1</v>
      </c>
      <c r="DR164">
        <f t="shared" si="136"/>
        <v>1</v>
      </c>
      <c r="DS164" cm="1">
        <f t="array" ref="DS164">IF(AF164="&lt;0.2 ips",1,O.5)</f>
        <v>1</v>
      </c>
      <c r="DT164">
        <v>0.2</v>
      </c>
      <c r="DU164">
        <v>0.7</v>
      </c>
      <c r="DV164">
        <v>1</v>
      </c>
      <c r="DW164">
        <v>0.9</v>
      </c>
      <c r="DX164">
        <f t="shared" si="137"/>
        <v>0.13999999999999999</v>
      </c>
      <c r="DY164">
        <f t="shared" si="138"/>
        <v>1302.018616056577</v>
      </c>
      <c r="DZ164">
        <f t="shared" si="139"/>
        <v>0.14863226210691519</v>
      </c>
      <c r="EA164">
        <f t="shared" si="140"/>
        <v>1.8</v>
      </c>
    </row>
    <row r="165" spans="1:131" hidden="1" x14ac:dyDescent="0.25">
      <c r="A165" t="s">
        <v>559</v>
      </c>
      <c r="B165" t="s">
        <v>447</v>
      </c>
      <c r="C165" t="s">
        <v>448</v>
      </c>
      <c r="D165" t="s">
        <v>548</v>
      </c>
      <c r="E165" t="s">
        <v>549</v>
      </c>
      <c r="F165" t="s">
        <v>560</v>
      </c>
      <c r="G165" t="s">
        <v>165</v>
      </c>
      <c r="H165" t="s">
        <v>166</v>
      </c>
      <c r="I165" t="s">
        <v>165</v>
      </c>
      <c r="L165" t="s">
        <v>553</v>
      </c>
      <c r="M165" t="s">
        <v>137</v>
      </c>
      <c r="N165" t="b">
        <v>0</v>
      </c>
      <c r="P165" s="12" t="s">
        <v>558</v>
      </c>
      <c r="Q165" s="12" t="s">
        <v>558</v>
      </c>
      <c r="R165" s="12">
        <v>210</v>
      </c>
      <c r="S165" t="s">
        <v>148</v>
      </c>
      <c r="T165" s="12" t="s">
        <v>168</v>
      </c>
      <c r="U165" s="12">
        <v>53</v>
      </c>
      <c r="V165" t="s">
        <v>148</v>
      </c>
      <c r="Z165" s="12">
        <v>120</v>
      </c>
      <c r="AA165" s="12" t="s">
        <v>169</v>
      </c>
      <c r="AB165" s="12">
        <v>140</v>
      </c>
      <c r="AC165" t="s">
        <v>148</v>
      </c>
      <c r="AD165" s="12" t="s">
        <v>170</v>
      </c>
      <c r="AE165" s="12" t="s">
        <v>144</v>
      </c>
      <c r="AF165" s="12" t="s">
        <v>171</v>
      </c>
      <c r="AG165" s="13" t="s">
        <v>172</v>
      </c>
      <c r="AH165" s="12" t="s">
        <v>173</v>
      </c>
      <c r="AI165" s="12" t="s">
        <v>145</v>
      </c>
      <c r="AJ165" s="12" t="s">
        <v>146</v>
      </c>
      <c r="AK165" s="12" t="s">
        <v>226</v>
      </c>
      <c r="AL165" s="12" t="s">
        <v>174</v>
      </c>
      <c r="AM165" s="12">
        <v>56</v>
      </c>
      <c r="AN165" t="s">
        <v>175</v>
      </c>
      <c r="AO165" s="12">
        <v>-2208</v>
      </c>
      <c r="AQ165" s="12" t="b">
        <v>0</v>
      </c>
      <c r="AR165" s="14" t="s">
        <v>177</v>
      </c>
      <c r="BR165" s="12" t="s">
        <v>155</v>
      </c>
      <c r="BV165" s="12" t="s">
        <v>179</v>
      </c>
      <c r="CF165" s="12" t="s">
        <v>268</v>
      </c>
      <c r="CS165" s="12" t="s">
        <v>181</v>
      </c>
      <c r="DA165" s="12">
        <v>1</v>
      </c>
      <c r="DB165" s="12">
        <v>2</v>
      </c>
      <c r="DF165" t="s">
        <v>178</v>
      </c>
      <c r="DN165" s="12" t="b">
        <v>0</v>
      </c>
      <c r="DQ165">
        <f t="shared" si="135"/>
        <v>1</v>
      </c>
      <c r="DR165">
        <f t="shared" si="136"/>
        <v>1</v>
      </c>
      <c r="DS165" cm="1">
        <f t="array" ref="DS165">IF(AF165="&lt;0.2 ips",1,O.5)</f>
        <v>1</v>
      </c>
      <c r="DT165">
        <v>0.2</v>
      </c>
      <c r="DU165">
        <v>0.7</v>
      </c>
      <c r="DV165">
        <v>1</v>
      </c>
      <c r="DW165">
        <v>0.9</v>
      </c>
      <c r="DX165">
        <f t="shared" si="137"/>
        <v>0.13999999999999999</v>
      </c>
      <c r="DY165">
        <f t="shared" si="138"/>
        <v>1302.018616056577</v>
      </c>
      <c r="DZ165">
        <f t="shared" si="139"/>
        <v>0.14863226210691519</v>
      </c>
      <c r="EA165">
        <f t="shared" si="140"/>
        <v>1.8</v>
      </c>
    </row>
    <row r="166" spans="1:131" hidden="1" x14ac:dyDescent="0.25">
      <c r="A166" t="s">
        <v>561</v>
      </c>
      <c r="B166" t="s">
        <v>447</v>
      </c>
      <c r="C166" t="s">
        <v>448</v>
      </c>
      <c r="D166" t="s">
        <v>548</v>
      </c>
      <c r="E166" t="s">
        <v>549</v>
      </c>
      <c r="F166" t="s">
        <v>562</v>
      </c>
      <c r="G166" t="s">
        <v>165</v>
      </c>
      <c r="H166" t="s">
        <v>166</v>
      </c>
      <c r="I166" t="s">
        <v>165</v>
      </c>
      <c r="L166" t="s">
        <v>553</v>
      </c>
      <c r="M166" t="s">
        <v>137</v>
      </c>
      <c r="N166" t="b">
        <v>0</v>
      </c>
      <c r="P166" s="12" t="s">
        <v>554</v>
      </c>
      <c r="Q166" s="12" t="s">
        <v>554</v>
      </c>
      <c r="R166" s="12">
        <v>340</v>
      </c>
      <c r="S166" t="s">
        <v>148</v>
      </c>
      <c r="T166" s="12" t="s">
        <v>168</v>
      </c>
      <c r="U166" s="12">
        <v>90</v>
      </c>
      <c r="V166" t="s">
        <v>148</v>
      </c>
      <c r="Y166" s="14" t="s">
        <v>177</v>
      </c>
      <c r="Z166" s="12">
        <v>120</v>
      </c>
      <c r="AA166" s="12" t="s">
        <v>169</v>
      </c>
      <c r="AB166" s="12">
        <v>220</v>
      </c>
      <c r="AC166" t="s">
        <v>148</v>
      </c>
      <c r="AD166" s="12"/>
      <c r="AE166" s="12" t="s">
        <v>144</v>
      </c>
      <c r="AF166" s="12" t="s">
        <v>171</v>
      </c>
      <c r="AG166" s="13" t="s">
        <v>172</v>
      </c>
      <c r="AH166" s="12" t="s">
        <v>173</v>
      </c>
      <c r="AI166" s="12" t="s">
        <v>145</v>
      </c>
      <c r="AJ166" s="12" t="s">
        <v>146</v>
      </c>
      <c r="AK166" s="12" t="s">
        <v>226</v>
      </c>
      <c r="AL166" s="12" t="s">
        <v>174</v>
      </c>
      <c r="AM166" s="12">
        <v>153</v>
      </c>
      <c r="AN166" t="s">
        <v>175</v>
      </c>
      <c r="AO166" s="12">
        <v>0</v>
      </c>
      <c r="AP166" t="s">
        <v>186</v>
      </c>
      <c r="AQ166" s="12" t="b">
        <v>0</v>
      </c>
      <c r="BR166" s="12" t="s">
        <v>155</v>
      </c>
      <c r="BV166" s="12" t="s">
        <v>179</v>
      </c>
      <c r="CF166" s="12" t="s">
        <v>268</v>
      </c>
      <c r="CS166" s="12" t="s">
        <v>181</v>
      </c>
      <c r="DA166" s="12">
        <v>1</v>
      </c>
      <c r="DB166" s="12">
        <v>2</v>
      </c>
      <c r="DF166" t="s">
        <v>178</v>
      </c>
      <c r="DN166" s="12" t="b">
        <v>0</v>
      </c>
      <c r="DQ166">
        <f t="shared" si="135"/>
        <v>1</v>
      </c>
      <c r="DR166">
        <f t="shared" si="136"/>
        <v>1</v>
      </c>
      <c r="DS166" cm="1">
        <f t="array" ref="DS166">IF(AF166="&lt;0.2 ips",1,O.5)</f>
        <v>1</v>
      </c>
      <c r="DT166">
        <v>0.2</v>
      </c>
      <c r="DU166">
        <v>0.7</v>
      </c>
      <c r="DV166">
        <v>1</v>
      </c>
      <c r="DW166">
        <v>0.9</v>
      </c>
      <c r="DX166">
        <f t="shared" si="137"/>
        <v>0.13999999999999999</v>
      </c>
      <c r="DY166">
        <f t="shared" si="138"/>
        <v>977.99310868996201</v>
      </c>
      <c r="DZ166">
        <f t="shared" si="139"/>
        <v>0.11164304893721028</v>
      </c>
      <c r="EA166">
        <f t="shared" si="140"/>
        <v>1.3</v>
      </c>
    </row>
    <row r="167" spans="1:131" hidden="1" x14ac:dyDescent="0.25">
      <c r="A167" t="s">
        <v>563</v>
      </c>
      <c r="B167" t="s">
        <v>447</v>
      </c>
      <c r="C167" t="s">
        <v>448</v>
      </c>
      <c r="D167" t="s">
        <v>548</v>
      </c>
      <c r="E167" t="s">
        <v>549</v>
      </c>
      <c r="F167" t="s">
        <v>564</v>
      </c>
      <c r="G167" t="s">
        <v>165</v>
      </c>
      <c r="H167" t="s">
        <v>166</v>
      </c>
      <c r="I167" t="s">
        <v>165</v>
      </c>
      <c r="L167" t="s">
        <v>553</v>
      </c>
      <c r="M167" t="s">
        <v>137</v>
      </c>
      <c r="N167" t="b">
        <v>0</v>
      </c>
      <c r="P167" s="12" t="s">
        <v>167</v>
      </c>
      <c r="Q167" s="12" t="s">
        <v>167</v>
      </c>
      <c r="R167" s="12">
        <v>160</v>
      </c>
      <c r="S167" t="s">
        <v>148</v>
      </c>
      <c r="T167" s="12" t="s">
        <v>168</v>
      </c>
      <c r="U167" s="12">
        <v>60</v>
      </c>
      <c r="V167" t="s">
        <v>148</v>
      </c>
      <c r="Y167" s="14" t="s">
        <v>177</v>
      </c>
      <c r="Z167" s="12">
        <v>120</v>
      </c>
      <c r="AA167" s="12" t="s">
        <v>169</v>
      </c>
      <c r="AB167" s="12">
        <v>160</v>
      </c>
      <c r="AC167" t="s">
        <v>148</v>
      </c>
      <c r="AD167" s="12" t="s">
        <v>170</v>
      </c>
      <c r="AE167" s="12" t="s">
        <v>144</v>
      </c>
      <c r="AF167" s="12" t="s">
        <v>171</v>
      </c>
      <c r="AG167" s="13" t="s">
        <v>172</v>
      </c>
      <c r="AH167" s="12" t="s">
        <v>173</v>
      </c>
      <c r="AI167" s="12" t="s">
        <v>145</v>
      </c>
      <c r="AJ167" s="12" t="s">
        <v>146</v>
      </c>
      <c r="AK167" s="12" t="s">
        <v>226</v>
      </c>
      <c r="AL167" s="12" t="s">
        <v>174</v>
      </c>
      <c r="AM167" s="12">
        <v>48</v>
      </c>
      <c r="AN167" t="s">
        <v>175</v>
      </c>
      <c r="AO167" s="12">
        <v>0</v>
      </c>
      <c r="AP167" t="s">
        <v>186</v>
      </c>
      <c r="AQ167" s="12" t="b">
        <v>0</v>
      </c>
      <c r="BR167" s="12" t="s">
        <v>155</v>
      </c>
      <c r="BV167" s="12" t="s">
        <v>179</v>
      </c>
      <c r="CF167" s="12" t="s">
        <v>268</v>
      </c>
      <c r="CS167" s="12" t="s">
        <v>181</v>
      </c>
      <c r="DA167" s="12">
        <v>1</v>
      </c>
      <c r="DB167" s="12">
        <v>2</v>
      </c>
      <c r="DF167" t="s">
        <v>178</v>
      </c>
      <c r="DN167" s="12" t="b">
        <v>0</v>
      </c>
      <c r="DQ167">
        <f t="shared" si="135"/>
        <v>1</v>
      </c>
      <c r="DR167">
        <f t="shared" si="136"/>
        <v>1</v>
      </c>
      <c r="DS167" cm="1">
        <f t="array" ref="DS167">IF(AF167="&lt;0.2 ips",1,O.5)</f>
        <v>1</v>
      </c>
      <c r="DT167">
        <v>0.2</v>
      </c>
      <c r="DU167">
        <v>0.7</v>
      </c>
      <c r="DV167">
        <v>1</v>
      </c>
      <c r="DW167">
        <v>0.9</v>
      </c>
      <c r="DX167">
        <f t="shared" si="137"/>
        <v>0.13999999999999999</v>
      </c>
      <c r="DY167">
        <f t="shared" si="138"/>
        <v>1201.6633779020881</v>
      </c>
      <c r="DZ167">
        <f t="shared" si="139"/>
        <v>0.1371761846920192</v>
      </c>
      <c r="EA167">
        <f t="shared" si="140"/>
        <v>1.6</v>
      </c>
    </row>
    <row r="168" spans="1:131" hidden="1" x14ac:dyDescent="0.25">
      <c r="A168" t="s">
        <v>565</v>
      </c>
      <c r="B168" t="s">
        <v>447</v>
      </c>
      <c r="C168" t="s">
        <v>448</v>
      </c>
      <c r="D168" t="s">
        <v>548</v>
      </c>
      <c r="E168" t="s">
        <v>549</v>
      </c>
      <c r="F168" t="s">
        <v>566</v>
      </c>
      <c r="G168" t="s">
        <v>165</v>
      </c>
      <c r="H168" t="s">
        <v>166</v>
      </c>
      <c r="I168" t="s">
        <v>165</v>
      </c>
      <c r="L168" t="s">
        <v>553</v>
      </c>
      <c r="M168" t="s">
        <v>137</v>
      </c>
      <c r="N168" t="b">
        <v>0</v>
      </c>
      <c r="P168" s="12" t="s">
        <v>558</v>
      </c>
      <c r="Q168" s="12" t="s">
        <v>558</v>
      </c>
      <c r="R168" s="12">
        <v>210</v>
      </c>
      <c r="S168" t="s">
        <v>148</v>
      </c>
      <c r="T168" s="12" t="s">
        <v>168</v>
      </c>
      <c r="U168" s="12">
        <v>53</v>
      </c>
      <c r="V168" t="s">
        <v>148</v>
      </c>
      <c r="Y168" s="14" t="s">
        <v>177</v>
      </c>
      <c r="Z168" s="12">
        <v>120</v>
      </c>
      <c r="AA168" s="12" t="s">
        <v>169</v>
      </c>
      <c r="AB168" s="12">
        <v>140</v>
      </c>
      <c r="AC168" t="s">
        <v>148</v>
      </c>
      <c r="AD168" s="12"/>
      <c r="AE168" s="12" t="s">
        <v>144</v>
      </c>
      <c r="AF168" s="12" t="s">
        <v>171</v>
      </c>
      <c r="AG168" s="13" t="s">
        <v>172</v>
      </c>
      <c r="AH168" s="12" t="s">
        <v>173</v>
      </c>
      <c r="AI168" s="12" t="s">
        <v>145</v>
      </c>
      <c r="AJ168" s="12" t="s">
        <v>146</v>
      </c>
      <c r="AK168" s="12" t="s">
        <v>226</v>
      </c>
      <c r="AL168" s="12" t="s">
        <v>174</v>
      </c>
      <c r="AM168" s="12">
        <v>56</v>
      </c>
      <c r="AN168" t="s">
        <v>175</v>
      </c>
      <c r="AO168" s="12">
        <v>0</v>
      </c>
      <c r="AP168" t="s">
        <v>186</v>
      </c>
      <c r="AQ168" s="12" t="b">
        <v>0</v>
      </c>
      <c r="BR168" s="12" t="s">
        <v>155</v>
      </c>
      <c r="BV168" s="12" t="s">
        <v>179</v>
      </c>
      <c r="CF168" s="12" t="s">
        <v>268</v>
      </c>
      <c r="CS168" s="12" t="s">
        <v>181</v>
      </c>
      <c r="DA168" s="12">
        <v>1</v>
      </c>
      <c r="DB168" s="12">
        <v>2</v>
      </c>
      <c r="DF168" t="s">
        <v>178</v>
      </c>
      <c r="DN168" s="12" t="b">
        <v>0</v>
      </c>
      <c r="DQ168">
        <f t="shared" si="135"/>
        <v>1</v>
      </c>
      <c r="DR168">
        <f t="shared" si="136"/>
        <v>1</v>
      </c>
      <c r="DS168" cm="1">
        <f t="array" ref="DS168">IF(AF168="&lt;0.2 ips",1,O.5)</f>
        <v>1</v>
      </c>
      <c r="DT168">
        <v>0.2</v>
      </c>
      <c r="DU168">
        <v>0.7</v>
      </c>
      <c r="DV168">
        <v>1</v>
      </c>
      <c r="DW168">
        <v>0.9</v>
      </c>
      <c r="DX168">
        <f t="shared" si="137"/>
        <v>0.13999999999999999</v>
      </c>
      <c r="DY168">
        <f t="shared" si="138"/>
        <v>1302.018616056577</v>
      </c>
      <c r="DZ168">
        <f t="shared" si="139"/>
        <v>0.14863226210691519</v>
      </c>
      <c r="EA168">
        <f t="shared" si="140"/>
        <v>1.8</v>
      </c>
    </row>
    <row r="169" spans="1:131" hidden="1" x14ac:dyDescent="0.25">
      <c r="A169" t="s">
        <v>567</v>
      </c>
      <c r="B169" t="s">
        <v>447</v>
      </c>
      <c r="C169" t="s">
        <v>448</v>
      </c>
      <c r="D169" t="s">
        <v>548</v>
      </c>
      <c r="E169" t="s">
        <v>549</v>
      </c>
      <c r="F169" t="s">
        <v>568</v>
      </c>
      <c r="G169" t="s">
        <v>165</v>
      </c>
      <c r="H169" t="s">
        <v>166</v>
      </c>
      <c r="I169" t="s">
        <v>165</v>
      </c>
      <c r="L169" t="s">
        <v>553</v>
      </c>
      <c r="M169" t="s">
        <v>137</v>
      </c>
      <c r="N169" t="b">
        <v>0</v>
      </c>
      <c r="P169" s="12" t="s">
        <v>558</v>
      </c>
      <c r="Q169" s="12" t="s">
        <v>558</v>
      </c>
      <c r="R169" s="12">
        <v>210</v>
      </c>
      <c r="S169" t="s">
        <v>148</v>
      </c>
      <c r="T169" s="12" t="s">
        <v>168</v>
      </c>
      <c r="U169" s="12">
        <v>53</v>
      </c>
      <c r="V169" t="s">
        <v>148</v>
      </c>
      <c r="Y169" s="14" t="s">
        <v>177</v>
      </c>
      <c r="Z169" s="12">
        <v>120</v>
      </c>
      <c r="AA169" s="12" t="s">
        <v>169</v>
      </c>
      <c r="AB169" s="12">
        <v>140</v>
      </c>
      <c r="AC169" t="s">
        <v>148</v>
      </c>
      <c r="AD169" s="12"/>
      <c r="AE169" s="12" t="s">
        <v>144</v>
      </c>
      <c r="AF169" s="12" t="s">
        <v>171</v>
      </c>
      <c r="AG169" s="13" t="s">
        <v>172</v>
      </c>
      <c r="AH169" s="12" t="s">
        <v>173</v>
      </c>
      <c r="AI169" s="12" t="s">
        <v>145</v>
      </c>
      <c r="AJ169" s="12" t="s">
        <v>146</v>
      </c>
      <c r="AK169" s="12" t="s">
        <v>226</v>
      </c>
      <c r="AL169" s="12" t="s">
        <v>174</v>
      </c>
      <c r="AM169" s="12">
        <v>56</v>
      </c>
      <c r="AN169" t="s">
        <v>175</v>
      </c>
      <c r="AO169" s="12">
        <v>0</v>
      </c>
      <c r="AP169" t="s">
        <v>186</v>
      </c>
      <c r="AQ169" s="12" t="b">
        <v>0</v>
      </c>
      <c r="BR169" s="12" t="s">
        <v>155</v>
      </c>
      <c r="BV169" s="12" t="s">
        <v>179</v>
      </c>
      <c r="CF169" s="12" t="s">
        <v>268</v>
      </c>
      <c r="CS169" s="12" t="s">
        <v>181</v>
      </c>
      <c r="DA169" s="12">
        <v>1</v>
      </c>
      <c r="DB169" s="12">
        <v>2</v>
      </c>
      <c r="DF169" t="s">
        <v>178</v>
      </c>
      <c r="DN169" s="12" t="b">
        <v>0</v>
      </c>
      <c r="DQ169">
        <f t="shared" si="135"/>
        <v>1</v>
      </c>
      <c r="DR169">
        <f t="shared" si="136"/>
        <v>1</v>
      </c>
      <c r="DS169" cm="1">
        <f t="array" ref="DS169">IF(AF169="&lt;0.2 ips",1,O.5)</f>
        <v>1</v>
      </c>
      <c r="DT169">
        <v>0.2</v>
      </c>
      <c r="DU169">
        <v>0.7</v>
      </c>
      <c r="DV169">
        <v>1</v>
      </c>
      <c r="DW169">
        <v>0.9</v>
      </c>
      <c r="DX169">
        <f t="shared" si="137"/>
        <v>0.13999999999999999</v>
      </c>
      <c r="DY169">
        <f t="shared" si="138"/>
        <v>1302.018616056577</v>
      </c>
      <c r="DZ169">
        <f t="shared" si="139"/>
        <v>0.14863226210691519</v>
      </c>
      <c r="EA169">
        <f t="shared" si="140"/>
        <v>1.8</v>
      </c>
    </row>
    <row r="170" spans="1:131" hidden="1" x14ac:dyDescent="0.25">
      <c r="A170" t="s">
        <v>569</v>
      </c>
      <c r="B170" t="s">
        <v>447</v>
      </c>
      <c r="C170" t="s">
        <v>448</v>
      </c>
      <c r="D170" t="s">
        <v>570</v>
      </c>
      <c r="E170" t="s">
        <v>571</v>
      </c>
      <c r="F170" t="s">
        <v>572</v>
      </c>
      <c r="G170" t="s">
        <v>192</v>
      </c>
      <c r="H170" t="s">
        <v>193</v>
      </c>
      <c r="I170" t="s">
        <v>194</v>
      </c>
      <c r="M170" t="s">
        <v>137</v>
      </c>
      <c r="N170" t="b">
        <v>0</v>
      </c>
      <c r="AY170" s="12"/>
      <c r="AZ170" t="s">
        <v>195</v>
      </c>
      <c r="BV170" s="12" t="s">
        <v>573</v>
      </c>
      <c r="DB170" s="12">
        <v>1</v>
      </c>
      <c r="DD170" s="12"/>
      <c r="DG170" s="12"/>
      <c r="DV170">
        <f t="shared" ref="DV170" si="141">IF(AA172="Horizontal",1,0.5)</f>
        <v>1</v>
      </c>
    </row>
    <row r="171" spans="1:131" hidden="1" x14ac:dyDescent="0.25">
      <c r="A171" t="s">
        <v>574</v>
      </c>
      <c r="B171" t="s">
        <v>447</v>
      </c>
      <c r="C171" t="s">
        <v>448</v>
      </c>
      <c r="D171" t="s">
        <v>570</v>
      </c>
      <c r="E171" t="s">
        <v>571</v>
      </c>
      <c r="F171" t="s">
        <v>134</v>
      </c>
      <c r="G171" t="s">
        <v>201</v>
      </c>
      <c r="H171" t="s">
        <v>202</v>
      </c>
      <c r="I171" t="s">
        <v>201</v>
      </c>
      <c r="M171" t="s">
        <v>137</v>
      </c>
      <c r="N171" t="b">
        <v>0</v>
      </c>
      <c r="P171" s="12"/>
      <c r="Q171" s="12"/>
      <c r="T171" t="s">
        <v>203</v>
      </c>
      <c r="X171" s="12">
        <v>5000</v>
      </c>
      <c r="Y171" s="12">
        <v>490</v>
      </c>
      <c r="Z171" s="12">
        <v>1500</v>
      </c>
      <c r="AA171" s="12" t="s">
        <v>169</v>
      </c>
      <c r="AB171" s="12">
        <v>110</v>
      </c>
      <c r="AC171" t="s">
        <v>148</v>
      </c>
      <c r="AE171" s="12" t="s">
        <v>144</v>
      </c>
      <c r="AF171" s="12" t="s">
        <v>171</v>
      </c>
      <c r="AI171" s="12" t="s">
        <v>145</v>
      </c>
      <c r="AJ171" s="12" t="s">
        <v>146</v>
      </c>
      <c r="AK171" s="12" t="s">
        <v>147</v>
      </c>
      <c r="AL171" s="12" t="s">
        <v>174</v>
      </c>
      <c r="AM171" s="12">
        <v>42</v>
      </c>
      <c r="AN171" t="s">
        <v>175</v>
      </c>
      <c r="AO171" s="12">
        <v>3</v>
      </c>
      <c r="AP171" t="s">
        <v>176</v>
      </c>
      <c r="AQ171" s="12" t="b">
        <v>1</v>
      </c>
      <c r="AR171" s="12" t="str">
        <f>HYPERLINK("https://www.google.com/search?q=","")</f>
        <v/>
      </c>
      <c r="BR171" s="12" t="s">
        <v>155</v>
      </c>
      <c r="BV171" s="12" t="s">
        <v>210</v>
      </c>
      <c r="CF171" s="12" t="s">
        <v>187</v>
      </c>
      <c r="CS171" s="12" t="s">
        <v>181</v>
      </c>
      <c r="DA171" s="12">
        <v>2</v>
      </c>
      <c r="DN171" s="12" t="b">
        <v>0</v>
      </c>
      <c r="DQ171">
        <f t="shared" ref="DQ171:DQ172" si="142">IF(T171="Ball",10,0)</f>
        <v>10</v>
      </c>
      <c r="DR171">
        <f t="shared" ref="DR171:DR172" si="143">IF(AE171="125°F (51.7°C) - 150°F (65.6°C)",1,0.5)</f>
        <v>1</v>
      </c>
      <c r="DS171" cm="1">
        <f t="array" ref="DS171">IF(AF171="&lt;0.2 ips",1,O.5)</f>
        <v>1</v>
      </c>
      <c r="DT171">
        <v>0.2</v>
      </c>
      <c r="DU171">
        <v>1</v>
      </c>
      <c r="DV171">
        <v>1</v>
      </c>
      <c r="DW171">
        <v>0.9</v>
      </c>
      <c r="DX171">
        <f t="shared" ref="DX171:DX172" si="144">PRODUCT(DQ171:DV171)</f>
        <v>2</v>
      </c>
      <c r="DY171">
        <f t="shared" ref="DY171:DY172" si="145">+DX171*((14000000/(Z171*AB171^0.5))-4*AB171)</f>
        <v>899.79683325843894</v>
      </c>
      <c r="DZ171">
        <f t="shared" ref="DZ171:DZ172" si="146">+DY171/8760</f>
        <v>0.10271653347699075</v>
      </c>
      <c r="EA171">
        <f t="shared" ref="EA171:EA172" si="147">ROUND(+DZ171*12,1)</f>
        <v>1.2</v>
      </c>
    </row>
    <row r="172" spans="1:131" hidden="1" x14ac:dyDescent="0.25">
      <c r="A172" t="s">
        <v>575</v>
      </c>
      <c r="B172" t="s">
        <v>447</v>
      </c>
      <c r="C172" t="s">
        <v>448</v>
      </c>
      <c r="D172" t="s">
        <v>570</v>
      </c>
      <c r="E172" t="s">
        <v>571</v>
      </c>
      <c r="F172" t="s">
        <v>134</v>
      </c>
      <c r="G172" t="s">
        <v>201</v>
      </c>
      <c r="H172" t="s">
        <v>212</v>
      </c>
      <c r="I172" t="s">
        <v>201</v>
      </c>
      <c r="M172" t="s">
        <v>137</v>
      </c>
      <c r="N172" t="b">
        <v>0</v>
      </c>
      <c r="P172" s="12"/>
      <c r="Q172" s="12"/>
      <c r="T172" t="s">
        <v>203</v>
      </c>
      <c r="X172" s="12">
        <v>5000</v>
      </c>
      <c r="Y172" s="12">
        <v>490</v>
      </c>
      <c r="Z172" s="12">
        <v>1500</v>
      </c>
      <c r="AA172" s="12" t="s">
        <v>169</v>
      </c>
      <c r="AB172" s="12">
        <v>110</v>
      </c>
      <c r="AC172" t="s">
        <v>148</v>
      </c>
      <c r="AE172" s="12" t="s">
        <v>144</v>
      </c>
      <c r="AF172" s="12" t="s">
        <v>171</v>
      </c>
      <c r="AI172" s="12" t="s">
        <v>145</v>
      </c>
      <c r="AJ172" s="12" t="s">
        <v>146</v>
      </c>
      <c r="AK172" s="12" t="s">
        <v>147</v>
      </c>
      <c r="AL172" s="12" t="s">
        <v>174</v>
      </c>
      <c r="AM172" s="12">
        <v>42</v>
      </c>
      <c r="AN172" t="s">
        <v>175</v>
      </c>
      <c r="AO172" s="12">
        <v>3</v>
      </c>
      <c r="AP172" t="s">
        <v>176</v>
      </c>
      <c r="AQ172" s="12" t="b">
        <v>1</v>
      </c>
      <c r="AR172" s="12" t="str">
        <f>HYPERLINK("https://www.google.com/search?q=","")</f>
        <v/>
      </c>
      <c r="BR172" s="12" t="s">
        <v>155</v>
      </c>
      <c r="BV172" s="12" t="s">
        <v>210</v>
      </c>
      <c r="CF172" s="12" t="s">
        <v>187</v>
      </c>
      <c r="CS172" s="12" t="s">
        <v>181</v>
      </c>
      <c r="DA172" s="12">
        <v>2</v>
      </c>
      <c r="DN172" s="12" t="b">
        <v>0</v>
      </c>
      <c r="DQ172">
        <f t="shared" si="142"/>
        <v>10</v>
      </c>
      <c r="DR172">
        <f t="shared" si="143"/>
        <v>1</v>
      </c>
      <c r="DS172" cm="1">
        <f t="array" ref="DS172">IF(AF172="&lt;0.2 ips",1,O.5)</f>
        <v>1</v>
      </c>
      <c r="DT172">
        <v>0.2</v>
      </c>
      <c r="DU172">
        <v>1</v>
      </c>
      <c r="DV172">
        <v>1</v>
      </c>
      <c r="DW172">
        <v>0.9</v>
      </c>
      <c r="DX172">
        <f t="shared" si="144"/>
        <v>2</v>
      </c>
      <c r="DY172">
        <f t="shared" si="145"/>
        <v>899.79683325843894</v>
      </c>
      <c r="DZ172">
        <f t="shared" si="146"/>
        <v>0.10271653347699075</v>
      </c>
      <c r="EA172">
        <f t="shared" si="147"/>
        <v>1.2</v>
      </c>
    </row>
    <row r="173" spans="1:131" hidden="1" x14ac:dyDescent="0.25">
      <c r="A173" t="s">
        <v>576</v>
      </c>
      <c r="B173" t="s">
        <v>447</v>
      </c>
      <c r="C173" t="s">
        <v>448</v>
      </c>
      <c r="D173" t="s">
        <v>570</v>
      </c>
      <c r="E173" t="s">
        <v>571</v>
      </c>
      <c r="F173" t="s">
        <v>139</v>
      </c>
      <c r="G173" t="s">
        <v>140</v>
      </c>
      <c r="H173" t="s">
        <v>141</v>
      </c>
      <c r="I173" t="s">
        <v>142</v>
      </c>
      <c r="M173" t="s">
        <v>137</v>
      </c>
      <c r="N173" t="b">
        <v>0</v>
      </c>
      <c r="Y173" s="12">
        <v>490</v>
      </c>
      <c r="AE173" s="12" t="s">
        <v>144</v>
      </c>
      <c r="AI173" s="12" t="s">
        <v>145</v>
      </c>
      <c r="AJ173" s="12" t="s">
        <v>146</v>
      </c>
      <c r="AK173" s="12" t="s">
        <v>147</v>
      </c>
      <c r="AR173" s="12" t="str">
        <f>HYPERLINK("https://www.google.com/search?q=Adaro RS-315","Adaro RS-315")</f>
        <v>Adaro RS-315</v>
      </c>
      <c r="AS173">
        <v>600</v>
      </c>
      <c r="AT173" t="s">
        <v>148</v>
      </c>
      <c r="AU173">
        <v>300</v>
      </c>
      <c r="AV173" t="s">
        <v>148</v>
      </c>
      <c r="AW173">
        <v>1000</v>
      </c>
      <c r="AX173" t="s">
        <v>148</v>
      </c>
      <c r="AY173" s="12">
        <v>45</v>
      </c>
      <c r="AZ173" t="s">
        <v>149</v>
      </c>
      <c r="BF173" s="12" t="s">
        <v>332</v>
      </c>
      <c r="BH173" s="12" t="s">
        <v>458</v>
      </c>
      <c r="BI173" s="12" t="s">
        <v>152</v>
      </c>
      <c r="BL173" s="15" t="s">
        <v>577</v>
      </c>
      <c r="BN173" s="12" t="s">
        <v>154</v>
      </c>
      <c r="BP173" s="12" t="s">
        <v>155</v>
      </c>
      <c r="BT173" s="12" t="s">
        <v>156</v>
      </c>
      <c r="BV173" s="12" t="s">
        <v>157</v>
      </c>
      <c r="BY173" s="12" t="s">
        <v>155</v>
      </c>
      <c r="CA173" s="12" t="s">
        <v>218</v>
      </c>
      <c r="CD173" s="12">
        <v>240</v>
      </c>
      <c r="CE173" t="s">
        <v>148</v>
      </c>
      <c r="CH173" s="12" t="s">
        <v>159</v>
      </c>
      <c r="CU173" s="12" t="s">
        <v>578</v>
      </c>
      <c r="DC173" s="12" t="b">
        <v>0</v>
      </c>
      <c r="DD173" s="12" t="s">
        <v>219</v>
      </c>
      <c r="DG173" s="12" t="s">
        <v>161</v>
      </c>
      <c r="DV173">
        <f t="shared" ref="DV173:DV175" si="148">IF(AA175="Horizontal",1,0.5)</f>
        <v>0.5</v>
      </c>
    </row>
    <row r="174" spans="1:131" hidden="1" x14ac:dyDescent="0.25">
      <c r="A174" t="s">
        <v>579</v>
      </c>
      <c r="B174" t="s">
        <v>447</v>
      </c>
      <c r="C174" t="s">
        <v>448</v>
      </c>
      <c r="D174" t="s">
        <v>570</v>
      </c>
      <c r="E174" t="s">
        <v>571</v>
      </c>
      <c r="F174" t="s">
        <v>580</v>
      </c>
      <c r="G174" t="s">
        <v>165</v>
      </c>
      <c r="H174" t="s">
        <v>166</v>
      </c>
      <c r="I174" t="s">
        <v>165</v>
      </c>
      <c r="M174" t="s">
        <v>137</v>
      </c>
      <c r="N174" t="b">
        <v>0</v>
      </c>
      <c r="P174" s="12"/>
      <c r="Q174" s="12"/>
      <c r="R174" s="12"/>
      <c r="S174" t="s">
        <v>225</v>
      </c>
      <c r="T174" s="12" t="s">
        <v>168</v>
      </c>
      <c r="U174" s="12"/>
      <c r="V174" t="s">
        <v>225</v>
      </c>
      <c r="Z174" s="12">
        <v>120</v>
      </c>
      <c r="AA174" s="12" t="s">
        <v>169</v>
      </c>
      <c r="AB174" s="12"/>
      <c r="AC174" t="s">
        <v>225</v>
      </c>
      <c r="AD174" s="12"/>
      <c r="AE174" s="12" t="s">
        <v>144</v>
      </c>
      <c r="AF174" s="12" t="s">
        <v>263</v>
      </c>
      <c r="AG174" s="13" t="s">
        <v>172</v>
      </c>
      <c r="AH174" s="12" t="s">
        <v>173</v>
      </c>
      <c r="AI174" s="12" t="s">
        <v>145</v>
      </c>
      <c r="AJ174" s="12" t="s">
        <v>146</v>
      </c>
      <c r="AK174" s="12" t="s">
        <v>147</v>
      </c>
      <c r="AL174" s="12" t="s">
        <v>174</v>
      </c>
      <c r="AM174" s="12"/>
      <c r="AO174" s="12">
        <v>0</v>
      </c>
      <c r="AQ174" s="12" t="b">
        <v>0</v>
      </c>
      <c r="BR174" s="12" t="s">
        <v>155</v>
      </c>
      <c r="BV174" s="12" t="s">
        <v>179</v>
      </c>
      <c r="CF174" s="12" t="s">
        <v>187</v>
      </c>
      <c r="CS174" s="12" t="s">
        <v>181</v>
      </c>
      <c r="DA174" s="12">
        <v>1</v>
      </c>
      <c r="DB174" s="12">
        <v>2</v>
      </c>
      <c r="DN174" s="12" t="b">
        <v>0</v>
      </c>
      <c r="DV174">
        <f t="shared" si="148"/>
        <v>1</v>
      </c>
    </row>
    <row r="175" spans="1:131" hidden="1" x14ac:dyDescent="0.25">
      <c r="A175" t="s">
        <v>581</v>
      </c>
      <c r="B175" t="s">
        <v>447</v>
      </c>
      <c r="C175" t="s">
        <v>448</v>
      </c>
      <c r="D175" t="s">
        <v>582</v>
      </c>
      <c r="E175" t="s">
        <v>583</v>
      </c>
      <c r="F175" t="s">
        <v>572</v>
      </c>
      <c r="G175" t="s">
        <v>192</v>
      </c>
      <c r="H175" t="s">
        <v>193</v>
      </c>
      <c r="I175" t="s">
        <v>194</v>
      </c>
      <c r="M175" t="s">
        <v>137</v>
      </c>
      <c r="N175" t="b">
        <v>0</v>
      </c>
      <c r="AY175" s="12"/>
      <c r="AZ175" t="s">
        <v>195</v>
      </c>
      <c r="BV175" s="12" t="s">
        <v>573</v>
      </c>
      <c r="DB175" s="12">
        <v>1</v>
      </c>
      <c r="DD175" s="12"/>
      <c r="DG175" s="12"/>
      <c r="DV175">
        <f t="shared" si="148"/>
        <v>1</v>
      </c>
    </row>
    <row r="176" spans="1:131" hidden="1" x14ac:dyDescent="0.25">
      <c r="A176" t="s">
        <v>584</v>
      </c>
      <c r="B176" t="s">
        <v>447</v>
      </c>
      <c r="C176" t="s">
        <v>448</v>
      </c>
      <c r="D176" t="s">
        <v>582</v>
      </c>
      <c r="E176" t="s">
        <v>583</v>
      </c>
      <c r="F176" t="s">
        <v>134</v>
      </c>
      <c r="G176" t="s">
        <v>201</v>
      </c>
      <c r="H176" t="s">
        <v>202</v>
      </c>
      <c r="I176" t="s">
        <v>201</v>
      </c>
      <c r="M176" t="s">
        <v>137</v>
      </c>
      <c r="N176" t="b">
        <v>0</v>
      </c>
      <c r="P176" s="12"/>
      <c r="Q176" s="12"/>
      <c r="T176" t="s">
        <v>203</v>
      </c>
      <c r="X176" s="12">
        <v>5000</v>
      </c>
      <c r="Y176" s="12">
        <v>490</v>
      </c>
      <c r="Z176" s="12">
        <v>1500</v>
      </c>
      <c r="AA176" s="12" t="s">
        <v>169</v>
      </c>
      <c r="AB176" s="12">
        <v>110</v>
      </c>
      <c r="AC176" t="s">
        <v>148</v>
      </c>
      <c r="AE176" s="12" t="s">
        <v>144</v>
      </c>
      <c r="AF176" s="12" t="s">
        <v>171</v>
      </c>
      <c r="AI176" s="12" t="s">
        <v>145</v>
      </c>
      <c r="AJ176" s="12" t="s">
        <v>146</v>
      </c>
      <c r="AK176" s="12" t="s">
        <v>147</v>
      </c>
      <c r="AL176" s="12" t="s">
        <v>174</v>
      </c>
      <c r="AM176" s="12">
        <v>42</v>
      </c>
      <c r="AN176" t="s">
        <v>175</v>
      </c>
      <c r="AO176" s="12">
        <v>3</v>
      </c>
      <c r="AP176" t="s">
        <v>176</v>
      </c>
      <c r="AQ176" s="12" t="b">
        <v>1</v>
      </c>
      <c r="AR176" s="12" t="str">
        <f>HYPERLINK("https://www.google.com/search?q=","")</f>
        <v/>
      </c>
      <c r="BR176" s="12" t="s">
        <v>155</v>
      </c>
      <c r="BV176" s="12" t="s">
        <v>210</v>
      </c>
      <c r="CF176" s="12" t="s">
        <v>187</v>
      </c>
      <c r="CS176" s="12" t="s">
        <v>181</v>
      </c>
      <c r="DA176" s="12">
        <v>2</v>
      </c>
      <c r="DN176" s="12" t="b">
        <v>0</v>
      </c>
      <c r="DQ176">
        <f t="shared" ref="DQ176:DQ177" si="149">IF(T176="Ball",10,0)</f>
        <v>10</v>
      </c>
      <c r="DR176">
        <f t="shared" ref="DR176:DR177" si="150">IF(AE176="125°F (51.7°C) - 150°F (65.6°C)",1,0.5)</f>
        <v>1</v>
      </c>
      <c r="DS176" cm="1">
        <f t="array" ref="DS176">IF(AF176="&lt;0.2 ips",1,O.5)</f>
        <v>1</v>
      </c>
      <c r="DT176">
        <v>0.2</v>
      </c>
      <c r="DU176">
        <v>1</v>
      </c>
      <c r="DV176">
        <v>1</v>
      </c>
      <c r="DW176">
        <v>0.9</v>
      </c>
      <c r="DX176">
        <f t="shared" ref="DX176:DX177" si="151">PRODUCT(DQ176:DV176)</f>
        <v>2</v>
      </c>
      <c r="DY176">
        <f t="shared" ref="DY176:DY177" si="152">+DX176*((14000000/(Z176*AB176^0.5))-4*AB176)</f>
        <v>899.79683325843894</v>
      </c>
      <c r="DZ176">
        <f t="shared" ref="DZ176:DZ177" si="153">+DY176/8760</f>
        <v>0.10271653347699075</v>
      </c>
      <c r="EA176">
        <f t="shared" ref="EA176:EA177" si="154">ROUND(+DZ176*12,1)</f>
        <v>1.2</v>
      </c>
    </row>
    <row r="177" spans="1:131" hidden="1" x14ac:dyDescent="0.25">
      <c r="A177" t="s">
        <v>585</v>
      </c>
      <c r="B177" t="s">
        <v>447</v>
      </c>
      <c r="C177" t="s">
        <v>448</v>
      </c>
      <c r="D177" t="s">
        <v>582</v>
      </c>
      <c r="E177" t="s">
        <v>583</v>
      </c>
      <c r="F177" t="s">
        <v>134</v>
      </c>
      <c r="G177" t="s">
        <v>201</v>
      </c>
      <c r="H177" t="s">
        <v>212</v>
      </c>
      <c r="I177" t="s">
        <v>201</v>
      </c>
      <c r="M177" t="s">
        <v>137</v>
      </c>
      <c r="N177" t="b">
        <v>0</v>
      </c>
      <c r="P177" s="12"/>
      <c r="Q177" s="12"/>
      <c r="T177" t="s">
        <v>203</v>
      </c>
      <c r="X177" s="12">
        <v>5000</v>
      </c>
      <c r="Y177" s="12">
        <v>490</v>
      </c>
      <c r="Z177" s="12">
        <v>1500</v>
      </c>
      <c r="AA177" s="12" t="s">
        <v>169</v>
      </c>
      <c r="AB177" s="12">
        <v>110</v>
      </c>
      <c r="AC177" t="s">
        <v>148</v>
      </c>
      <c r="AE177" s="12" t="s">
        <v>144</v>
      </c>
      <c r="AF177" s="12" t="s">
        <v>171</v>
      </c>
      <c r="AI177" s="12" t="s">
        <v>145</v>
      </c>
      <c r="AJ177" s="12" t="s">
        <v>146</v>
      </c>
      <c r="AK177" s="12" t="s">
        <v>147</v>
      </c>
      <c r="AL177" s="12" t="s">
        <v>174</v>
      </c>
      <c r="AM177" s="12">
        <v>42</v>
      </c>
      <c r="AN177" t="s">
        <v>175</v>
      </c>
      <c r="AO177" s="12">
        <v>3</v>
      </c>
      <c r="AP177" t="s">
        <v>176</v>
      </c>
      <c r="AQ177" s="12" t="b">
        <v>1</v>
      </c>
      <c r="AR177" s="12" t="str">
        <f>HYPERLINK("https://www.google.com/search?q=","")</f>
        <v/>
      </c>
      <c r="BR177" s="12" t="s">
        <v>155</v>
      </c>
      <c r="BV177" s="12" t="s">
        <v>210</v>
      </c>
      <c r="CF177" s="12" t="s">
        <v>187</v>
      </c>
      <c r="CS177" s="12" t="s">
        <v>181</v>
      </c>
      <c r="DA177" s="12">
        <v>2</v>
      </c>
      <c r="DN177" s="12" t="b">
        <v>0</v>
      </c>
      <c r="DQ177">
        <f t="shared" si="149"/>
        <v>10</v>
      </c>
      <c r="DR177">
        <f t="shared" si="150"/>
        <v>1</v>
      </c>
      <c r="DS177" cm="1">
        <f t="array" ref="DS177">IF(AF177="&lt;0.2 ips",1,O.5)</f>
        <v>1</v>
      </c>
      <c r="DT177">
        <v>0.2</v>
      </c>
      <c r="DU177">
        <v>1</v>
      </c>
      <c r="DV177">
        <v>1</v>
      </c>
      <c r="DW177">
        <v>0.9</v>
      </c>
      <c r="DX177">
        <f t="shared" si="151"/>
        <v>2</v>
      </c>
      <c r="DY177">
        <f t="shared" si="152"/>
        <v>899.79683325843894</v>
      </c>
      <c r="DZ177">
        <f t="shared" si="153"/>
        <v>0.10271653347699075</v>
      </c>
      <c r="EA177">
        <f t="shared" si="154"/>
        <v>1.2</v>
      </c>
    </row>
    <row r="178" spans="1:131" hidden="1" x14ac:dyDescent="0.25">
      <c r="A178" t="s">
        <v>586</v>
      </c>
      <c r="B178" t="s">
        <v>447</v>
      </c>
      <c r="C178" t="s">
        <v>448</v>
      </c>
      <c r="D178" t="s">
        <v>582</v>
      </c>
      <c r="E178" t="s">
        <v>583</v>
      </c>
      <c r="F178" t="s">
        <v>139</v>
      </c>
      <c r="G178" t="s">
        <v>140</v>
      </c>
      <c r="H178" t="s">
        <v>141</v>
      </c>
      <c r="I178" t="s">
        <v>142</v>
      </c>
      <c r="M178" t="s">
        <v>137</v>
      </c>
      <c r="N178" t="b">
        <v>0</v>
      </c>
      <c r="Y178" s="12">
        <v>490</v>
      </c>
      <c r="AE178" s="12" t="s">
        <v>144</v>
      </c>
      <c r="AI178" s="12" t="s">
        <v>145</v>
      </c>
      <c r="AJ178" s="12" t="s">
        <v>146</v>
      </c>
      <c r="AK178" s="12" t="s">
        <v>147</v>
      </c>
      <c r="AR178" s="12" t="str">
        <f>HYPERLINK("https://www.google.com/search?q=Adaro RS-315","Adaro RS-315")</f>
        <v>Adaro RS-315</v>
      </c>
      <c r="AS178">
        <v>600</v>
      </c>
      <c r="AT178" t="s">
        <v>148</v>
      </c>
      <c r="AU178">
        <v>300</v>
      </c>
      <c r="AV178" t="s">
        <v>148</v>
      </c>
      <c r="AW178">
        <v>1000</v>
      </c>
      <c r="AX178" t="s">
        <v>148</v>
      </c>
      <c r="AY178" s="12">
        <v>45</v>
      </c>
      <c r="AZ178" t="s">
        <v>149</v>
      </c>
      <c r="BF178" s="12" t="s">
        <v>332</v>
      </c>
      <c r="BH178" s="12" t="s">
        <v>458</v>
      </c>
      <c r="BI178" s="12" t="s">
        <v>152</v>
      </c>
      <c r="BL178" s="15" t="s">
        <v>577</v>
      </c>
      <c r="BN178" s="12" t="s">
        <v>154</v>
      </c>
      <c r="BP178" s="12" t="s">
        <v>155</v>
      </c>
      <c r="BT178" s="12" t="s">
        <v>156</v>
      </c>
      <c r="BV178" s="12" t="s">
        <v>157</v>
      </c>
      <c r="BY178" s="12" t="s">
        <v>155</v>
      </c>
      <c r="CA178" s="12" t="s">
        <v>218</v>
      </c>
      <c r="CD178" s="12">
        <v>240</v>
      </c>
      <c r="CE178" t="s">
        <v>148</v>
      </c>
      <c r="CH178" s="12" t="s">
        <v>159</v>
      </c>
      <c r="CU178" s="12" t="s">
        <v>578</v>
      </c>
      <c r="DC178" s="12" t="b">
        <v>0</v>
      </c>
      <c r="DD178" s="12" t="s">
        <v>219</v>
      </c>
      <c r="DG178" s="12" t="s">
        <v>161</v>
      </c>
      <c r="DV178">
        <f t="shared" ref="DV178:DV241" si="155">IF(AA180="Horizontal",1,0.5)</f>
        <v>0.5</v>
      </c>
    </row>
    <row r="179" spans="1:131" hidden="1" x14ac:dyDescent="0.25">
      <c r="A179" t="s">
        <v>587</v>
      </c>
      <c r="B179" t="s">
        <v>447</v>
      </c>
      <c r="C179" t="s">
        <v>448</v>
      </c>
      <c r="D179" t="s">
        <v>582</v>
      </c>
      <c r="E179" t="s">
        <v>583</v>
      </c>
      <c r="F179" t="s">
        <v>580</v>
      </c>
      <c r="G179" t="s">
        <v>165</v>
      </c>
      <c r="H179" t="s">
        <v>166</v>
      </c>
      <c r="I179" t="s">
        <v>165</v>
      </c>
      <c r="M179" t="s">
        <v>137</v>
      </c>
      <c r="N179" t="b">
        <v>0</v>
      </c>
      <c r="P179" s="12"/>
      <c r="Q179" s="12"/>
      <c r="R179" s="12"/>
      <c r="S179" t="s">
        <v>225</v>
      </c>
      <c r="T179" s="12" t="s">
        <v>168</v>
      </c>
      <c r="U179" s="12"/>
      <c r="V179" t="s">
        <v>225</v>
      </c>
      <c r="Z179" s="12">
        <v>120</v>
      </c>
      <c r="AA179" s="12" t="s">
        <v>169</v>
      </c>
      <c r="AB179" s="12"/>
      <c r="AC179" t="s">
        <v>225</v>
      </c>
      <c r="AD179" s="12"/>
      <c r="AE179" s="12" t="s">
        <v>144</v>
      </c>
      <c r="AF179" s="12" t="s">
        <v>263</v>
      </c>
      <c r="AG179" s="13" t="s">
        <v>172</v>
      </c>
      <c r="AH179" s="12" t="s">
        <v>173</v>
      </c>
      <c r="AI179" s="12" t="s">
        <v>145</v>
      </c>
      <c r="AJ179" s="12" t="s">
        <v>146</v>
      </c>
      <c r="AK179" s="12" t="s">
        <v>147</v>
      </c>
      <c r="AL179" s="12" t="s">
        <v>174</v>
      </c>
      <c r="AM179" s="12"/>
      <c r="AO179" s="12">
        <v>0</v>
      </c>
      <c r="AQ179" s="12" t="b">
        <v>0</v>
      </c>
      <c r="BR179" s="12" t="s">
        <v>155</v>
      </c>
      <c r="BV179" s="12" t="s">
        <v>179</v>
      </c>
      <c r="CF179" s="12" t="s">
        <v>187</v>
      </c>
      <c r="CS179" s="12" t="s">
        <v>181</v>
      </c>
      <c r="DA179" s="12">
        <v>1</v>
      </c>
      <c r="DB179" s="12">
        <v>2</v>
      </c>
      <c r="DN179" s="12" t="b">
        <v>0</v>
      </c>
      <c r="DV179">
        <f t="shared" si="155"/>
        <v>0.5</v>
      </c>
    </row>
    <row r="180" spans="1:131" hidden="1" x14ac:dyDescent="0.25">
      <c r="A180" t="s">
        <v>588</v>
      </c>
      <c r="B180" t="s">
        <v>447</v>
      </c>
      <c r="C180" t="s">
        <v>448</v>
      </c>
      <c r="D180" t="s">
        <v>589</v>
      </c>
      <c r="E180" t="s">
        <v>590</v>
      </c>
      <c r="F180" t="s">
        <v>591</v>
      </c>
      <c r="G180" t="s">
        <v>319</v>
      </c>
      <c r="H180" t="s">
        <v>320</v>
      </c>
      <c r="I180" t="s">
        <v>319</v>
      </c>
      <c r="M180" t="s">
        <v>137</v>
      </c>
      <c r="N180" t="b">
        <v>0</v>
      </c>
      <c r="Z180" s="12"/>
      <c r="AI180" s="12" t="s">
        <v>206</v>
      </c>
      <c r="AJ180" s="12" t="s">
        <v>146</v>
      </c>
      <c r="AK180" s="12" t="s">
        <v>226</v>
      </c>
      <c r="AO180" s="12">
        <v>10</v>
      </c>
      <c r="AP180" t="s">
        <v>592</v>
      </c>
      <c r="BG180" s="12"/>
      <c r="BV180" s="12" t="s">
        <v>593</v>
      </c>
      <c r="CW180" s="12" t="s">
        <v>594</v>
      </c>
      <c r="DB180" s="12">
        <v>1</v>
      </c>
      <c r="DV180">
        <f t="shared" si="155"/>
        <v>1</v>
      </c>
    </row>
    <row r="181" spans="1:131" hidden="1" x14ac:dyDescent="0.25">
      <c r="A181" t="s">
        <v>595</v>
      </c>
      <c r="B181" t="s">
        <v>447</v>
      </c>
      <c r="C181" t="s">
        <v>448</v>
      </c>
      <c r="D181" t="s">
        <v>589</v>
      </c>
      <c r="E181" t="s">
        <v>590</v>
      </c>
      <c r="F181" t="s">
        <v>596</v>
      </c>
      <c r="H181" t="s">
        <v>136</v>
      </c>
      <c r="I181" t="s">
        <v>135</v>
      </c>
      <c r="L181" t="s">
        <v>597</v>
      </c>
      <c r="M181" t="s">
        <v>137</v>
      </c>
      <c r="N181" t="b">
        <v>0</v>
      </c>
      <c r="Y181">
        <v>37</v>
      </c>
      <c r="Z181">
        <v>1500</v>
      </c>
      <c r="DB181" s="12">
        <v>1</v>
      </c>
      <c r="DV181">
        <f t="shared" si="155"/>
        <v>0.5</v>
      </c>
    </row>
    <row r="182" spans="1:131" hidden="1" x14ac:dyDescent="0.25">
      <c r="A182" t="s">
        <v>598</v>
      </c>
      <c r="B182" t="s">
        <v>447</v>
      </c>
      <c r="C182" t="s">
        <v>448</v>
      </c>
      <c r="D182" t="s">
        <v>589</v>
      </c>
      <c r="E182" t="s">
        <v>590</v>
      </c>
      <c r="F182" t="s">
        <v>599</v>
      </c>
      <c r="H182" t="s">
        <v>166</v>
      </c>
      <c r="I182" t="s">
        <v>201</v>
      </c>
      <c r="M182" t="s">
        <v>137</v>
      </c>
      <c r="N182" t="b">
        <v>0</v>
      </c>
      <c r="P182" s="12" t="s">
        <v>600</v>
      </c>
      <c r="Q182" s="12" t="s">
        <v>601</v>
      </c>
      <c r="X182" s="12">
        <v>5000</v>
      </c>
      <c r="Y182" s="12">
        <v>1800</v>
      </c>
      <c r="Z182" s="12">
        <v>1000</v>
      </c>
      <c r="AA182" s="12" t="s">
        <v>169</v>
      </c>
      <c r="AE182" s="12" t="s">
        <v>205</v>
      </c>
      <c r="AF182" s="12" t="s">
        <v>171</v>
      </c>
      <c r="AI182" s="12" t="s">
        <v>206</v>
      </c>
      <c r="AJ182" s="12" t="s">
        <v>146</v>
      </c>
      <c r="AK182" s="12" t="s">
        <v>226</v>
      </c>
      <c r="AL182" s="12" t="s">
        <v>209</v>
      </c>
      <c r="AM182" s="12">
        <v>42</v>
      </c>
      <c r="AN182" t="s">
        <v>175</v>
      </c>
      <c r="AO182" s="12">
        <v>3</v>
      </c>
      <c r="AP182" t="s">
        <v>176</v>
      </c>
      <c r="AQ182" s="12" t="b">
        <v>1</v>
      </c>
      <c r="AR182" s="12" t="str">
        <f>HYPERLINK("https://www.google.com/search?q=SEW","SEW")</f>
        <v>SEW</v>
      </c>
      <c r="BR182" s="12" t="s">
        <v>155</v>
      </c>
      <c r="BV182" s="12" t="s">
        <v>210</v>
      </c>
      <c r="CF182" s="12" t="s">
        <v>187</v>
      </c>
      <c r="CS182" s="12" t="s">
        <v>227</v>
      </c>
      <c r="DA182" s="12">
        <v>2</v>
      </c>
      <c r="DN182" s="12" t="b">
        <v>0</v>
      </c>
      <c r="DQ182">
        <f>IF(T182="Ball",10,0)</f>
        <v>0</v>
      </c>
      <c r="DR182">
        <f>+T182</f>
        <v>0</v>
      </c>
      <c r="DV182">
        <f t="shared" si="155"/>
        <v>0.5</v>
      </c>
    </row>
    <row r="183" spans="1:131" hidden="1" x14ac:dyDescent="0.25">
      <c r="A183" t="s">
        <v>602</v>
      </c>
      <c r="B183" t="s">
        <v>447</v>
      </c>
      <c r="C183" t="s">
        <v>448</v>
      </c>
      <c r="D183" t="s">
        <v>589</v>
      </c>
      <c r="E183" t="s">
        <v>590</v>
      </c>
      <c r="F183" t="s">
        <v>603</v>
      </c>
      <c r="G183" t="s">
        <v>140</v>
      </c>
      <c r="H183" t="s">
        <v>141</v>
      </c>
      <c r="I183" t="s">
        <v>142</v>
      </c>
      <c r="M183" t="s">
        <v>137</v>
      </c>
      <c r="N183" t="b">
        <v>0</v>
      </c>
      <c r="Y183" s="12">
        <v>37</v>
      </c>
      <c r="AE183" s="12" t="s">
        <v>144</v>
      </c>
      <c r="AI183" s="12" t="s">
        <v>145</v>
      </c>
      <c r="AJ183" s="12" t="s">
        <v>146</v>
      </c>
      <c r="AK183" s="12" t="s">
        <v>147</v>
      </c>
      <c r="AR183" s="12" t="str">
        <f>HYPERLINK("https://www.google.com/search?q=N-II- 80","N-II- 80")</f>
        <v>N-II- 80</v>
      </c>
      <c r="AS183">
        <v>600</v>
      </c>
      <c r="AT183" t="s">
        <v>148</v>
      </c>
      <c r="AU183">
        <v>500</v>
      </c>
      <c r="AV183" t="s">
        <v>148</v>
      </c>
      <c r="AW183">
        <v>1200</v>
      </c>
      <c r="AX183" t="s">
        <v>148</v>
      </c>
      <c r="AY183" s="12">
        <v>35</v>
      </c>
      <c r="AZ183" t="s">
        <v>149</v>
      </c>
      <c r="BF183" s="12" t="s">
        <v>332</v>
      </c>
      <c r="BH183" s="12" t="s">
        <v>151</v>
      </c>
      <c r="BI183" s="12" t="s">
        <v>152</v>
      </c>
      <c r="BL183" s="12" t="s">
        <v>159</v>
      </c>
      <c r="BN183" s="12" t="s">
        <v>154</v>
      </c>
      <c r="BP183" s="12" t="s">
        <v>155</v>
      </c>
      <c r="BT183" s="12" t="s">
        <v>604</v>
      </c>
      <c r="BV183" s="12" t="s">
        <v>157</v>
      </c>
      <c r="BY183" s="12" t="s">
        <v>155</v>
      </c>
      <c r="CA183" s="12" t="s">
        <v>218</v>
      </c>
      <c r="CD183" s="12">
        <v>320</v>
      </c>
      <c r="CE183" t="s">
        <v>148</v>
      </c>
      <c r="CH183" s="12" t="s">
        <v>159</v>
      </c>
      <c r="CU183" s="12" t="s">
        <v>159</v>
      </c>
      <c r="DC183" s="12" t="b">
        <v>1</v>
      </c>
      <c r="DD183" s="12" t="s">
        <v>219</v>
      </c>
      <c r="DG183" s="12" t="s">
        <v>161</v>
      </c>
      <c r="DV183">
        <f t="shared" si="155"/>
        <v>0.5</v>
      </c>
    </row>
    <row r="184" spans="1:131" hidden="1" x14ac:dyDescent="0.25">
      <c r="A184" t="s">
        <v>605</v>
      </c>
      <c r="B184" t="s">
        <v>447</v>
      </c>
      <c r="C184" t="s">
        <v>448</v>
      </c>
      <c r="D184" t="s">
        <v>589</v>
      </c>
      <c r="E184" t="s">
        <v>590</v>
      </c>
      <c r="F184" t="s">
        <v>457</v>
      </c>
      <c r="G184" t="s">
        <v>140</v>
      </c>
      <c r="H184" t="s">
        <v>141</v>
      </c>
      <c r="I184" t="s">
        <v>142</v>
      </c>
      <c r="L184" t="s">
        <v>606</v>
      </c>
      <c r="M184" t="s">
        <v>137</v>
      </c>
      <c r="N184" t="b">
        <v>0</v>
      </c>
      <c r="Y184" s="12">
        <v>1800</v>
      </c>
      <c r="AE184" s="12" t="s">
        <v>144</v>
      </c>
      <c r="AI184" s="12" t="s">
        <v>206</v>
      </c>
      <c r="AJ184" s="12" t="s">
        <v>146</v>
      </c>
      <c r="AK184" s="12" t="s">
        <v>226</v>
      </c>
      <c r="AR184" s="12" t="str">
        <f>HYPERLINK("https://www.google.com/search?q=N-III-35.5","N-III-35.5")</f>
        <v>N-III-35.5</v>
      </c>
      <c r="AS184">
        <v>1200</v>
      </c>
      <c r="AT184" t="s">
        <v>148</v>
      </c>
      <c r="AU184">
        <v>800</v>
      </c>
      <c r="AV184" t="s">
        <v>148</v>
      </c>
      <c r="AW184">
        <v>1600</v>
      </c>
      <c r="AX184" t="s">
        <v>148</v>
      </c>
      <c r="AY184" s="12">
        <v>80</v>
      </c>
      <c r="AZ184" t="s">
        <v>149</v>
      </c>
      <c r="BF184" s="12" t="s">
        <v>332</v>
      </c>
      <c r="BH184" s="12" t="s">
        <v>151</v>
      </c>
      <c r="BI184" s="12" t="s">
        <v>152</v>
      </c>
      <c r="BL184" s="12" t="s">
        <v>159</v>
      </c>
      <c r="BN184" s="12" t="s">
        <v>154</v>
      </c>
      <c r="BP184" s="12" t="s">
        <v>155</v>
      </c>
      <c r="BT184" s="12" t="s">
        <v>604</v>
      </c>
      <c r="BV184" s="12" t="s">
        <v>157</v>
      </c>
      <c r="BY184" s="12" t="s">
        <v>155</v>
      </c>
      <c r="CA184" s="12" t="s">
        <v>218</v>
      </c>
      <c r="CD184" s="12">
        <v>300</v>
      </c>
      <c r="CE184" t="s">
        <v>148</v>
      </c>
      <c r="CH184" s="12" t="s">
        <v>412</v>
      </c>
      <c r="CU184" s="12"/>
      <c r="DC184" s="12" t="b">
        <v>1</v>
      </c>
      <c r="DD184" s="12" t="s">
        <v>607</v>
      </c>
      <c r="DG184" s="12"/>
      <c r="DV184">
        <f t="shared" si="155"/>
        <v>0.5</v>
      </c>
    </row>
    <row r="185" spans="1:131" hidden="1" x14ac:dyDescent="0.25">
      <c r="A185" t="s">
        <v>608</v>
      </c>
      <c r="B185" t="s">
        <v>447</v>
      </c>
      <c r="C185" t="s">
        <v>448</v>
      </c>
      <c r="D185" t="s">
        <v>589</v>
      </c>
      <c r="E185" t="s">
        <v>590</v>
      </c>
      <c r="F185" t="s">
        <v>457</v>
      </c>
      <c r="G185" t="s">
        <v>140</v>
      </c>
      <c r="H185" t="s">
        <v>354</v>
      </c>
      <c r="I185" t="s">
        <v>355</v>
      </c>
      <c r="M185" t="s">
        <v>137</v>
      </c>
      <c r="N185" t="b">
        <v>0</v>
      </c>
      <c r="AR185" s="12" t="str">
        <f>HYPERLINK("https://www.google.com/search?q=","")</f>
        <v/>
      </c>
      <c r="CC185" s="12" t="b">
        <v>1</v>
      </c>
      <c r="CI185" s="12"/>
      <c r="CJ185" s="12" t="s">
        <v>609</v>
      </c>
      <c r="CK185" s="12" t="s">
        <v>610</v>
      </c>
      <c r="CL185" s="12"/>
      <c r="CM185" s="12"/>
      <c r="CN185" t="s">
        <v>356</v>
      </c>
      <c r="CO185" s="12" t="s">
        <v>357</v>
      </c>
      <c r="DD185" s="12"/>
      <c r="DG185" s="12"/>
      <c r="DV185">
        <f t="shared" si="155"/>
        <v>0.5</v>
      </c>
    </row>
    <row r="186" spans="1:131" hidden="1" x14ac:dyDescent="0.25">
      <c r="A186" t="s">
        <v>611</v>
      </c>
      <c r="B186" t="s">
        <v>447</v>
      </c>
      <c r="C186" t="s">
        <v>448</v>
      </c>
      <c r="D186" t="s">
        <v>589</v>
      </c>
      <c r="E186" t="s">
        <v>590</v>
      </c>
      <c r="F186" t="s">
        <v>457</v>
      </c>
      <c r="G186" t="s">
        <v>140</v>
      </c>
      <c r="H186" t="s">
        <v>612</v>
      </c>
      <c r="I186" t="s">
        <v>613</v>
      </c>
      <c r="M186" t="s">
        <v>137</v>
      </c>
      <c r="N186" t="b">
        <v>0</v>
      </c>
      <c r="DV186">
        <f t="shared" si="155"/>
        <v>0.5</v>
      </c>
    </row>
    <row r="187" spans="1:131" hidden="1" x14ac:dyDescent="0.25">
      <c r="A187" t="s">
        <v>614</v>
      </c>
      <c r="B187" t="s">
        <v>447</v>
      </c>
      <c r="C187" t="s">
        <v>448</v>
      </c>
      <c r="D187" t="s">
        <v>589</v>
      </c>
      <c r="E187" t="s">
        <v>590</v>
      </c>
      <c r="F187" t="s">
        <v>615</v>
      </c>
      <c r="G187" t="s">
        <v>436</v>
      </c>
      <c r="H187" t="s">
        <v>437</v>
      </c>
      <c r="I187" t="s">
        <v>438</v>
      </c>
      <c r="M187" t="s">
        <v>137</v>
      </c>
      <c r="N187" t="b">
        <v>0</v>
      </c>
      <c r="AM187" s="12">
        <v>18000</v>
      </c>
      <c r="AN187" t="s">
        <v>175</v>
      </c>
      <c r="AO187" s="12"/>
      <c r="AP187" t="s">
        <v>186</v>
      </c>
      <c r="AR187" s="12" t="str">
        <f>HYPERLINK("https://www.google.com/search?q=","")</f>
        <v/>
      </c>
      <c r="BA187" s="12">
        <v>18000</v>
      </c>
      <c r="BB187" t="s">
        <v>175</v>
      </c>
      <c r="BR187" s="12" t="s">
        <v>155</v>
      </c>
      <c r="BV187" s="12" t="s">
        <v>593</v>
      </c>
      <c r="CS187" s="12"/>
      <c r="CT187" s="12" t="s">
        <v>441</v>
      </c>
      <c r="DA187" s="12"/>
      <c r="DB187" s="12">
        <v>1</v>
      </c>
      <c r="DV187">
        <f t="shared" si="155"/>
        <v>0.5</v>
      </c>
    </row>
    <row r="188" spans="1:131" hidden="1" x14ac:dyDescent="0.25">
      <c r="A188" t="s">
        <v>616</v>
      </c>
      <c r="B188" t="s">
        <v>447</v>
      </c>
      <c r="C188" t="s">
        <v>448</v>
      </c>
      <c r="D188" t="s">
        <v>589</v>
      </c>
      <c r="E188" t="s">
        <v>590</v>
      </c>
      <c r="F188" t="s">
        <v>617</v>
      </c>
      <c r="G188" t="s">
        <v>618</v>
      </c>
      <c r="H188" t="s">
        <v>354</v>
      </c>
      <c r="I188" t="s">
        <v>355</v>
      </c>
      <c r="M188" t="s">
        <v>137</v>
      </c>
      <c r="N188" t="b">
        <v>0</v>
      </c>
      <c r="AR188" s="12" t="str">
        <f>HYPERLINK("https://www.google.com/search?q=","")</f>
        <v/>
      </c>
      <c r="CC188" s="12" t="b">
        <v>1</v>
      </c>
      <c r="CI188" s="12"/>
      <c r="CJ188" s="12" t="s">
        <v>619</v>
      </c>
      <c r="CK188" s="12"/>
      <c r="CL188" s="12"/>
      <c r="CM188" s="12"/>
      <c r="CN188" t="s">
        <v>356</v>
      </c>
      <c r="CO188" s="12" t="s">
        <v>620</v>
      </c>
      <c r="DD188" s="12"/>
      <c r="DG188" s="12"/>
      <c r="DV188">
        <f t="shared" si="155"/>
        <v>0.5</v>
      </c>
    </row>
    <row r="189" spans="1:131" ht="150" hidden="1" x14ac:dyDescent="0.25">
      <c r="A189" t="s">
        <v>621</v>
      </c>
      <c r="B189" t="s">
        <v>447</v>
      </c>
      <c r="C189" t="s">
        <v>448</v>
      </c>
      <c r="D189" t="s">
        <v>589</v>
      </c>
      <c r="E189" t="s">
        <v>590</v>
      </c>
      <c r="F189" t="s">
        <v>617</v>
      </c>
      <c r="G189" t="s">
        <v>618</v>
      </c>
      <c r="H189" t="s">
        <v>622</v>
      </c>
      <c r="I189" t="s">
        <v>623</v>
      </c>
      <c r="L189" s="11" t="s">
        <v>624</v>
      </c>
      <c r="M189" t="s">
        <v>137</v>
      </c>
      <c r="N189" t="b">
        <v>0</v>
      </c>
      <c r="S189" t="s">
        <v>225</v>
      </c>
      <c r="T189" t="s">
        <v>380</v>
      </c>
      <c r="V189" t="s">
        <v>225</v>
      </c>
      <c r="Z189">
        <v>100</v>
      </c>
      <c r="AC189" t="s">
        <v>225</v>
      </c>
      <c r="AE189" s="12" t="s">
        <v>205</v>
      </c>
      <c r="AF189" t="s">
        <v>171</v>
      </c>
      <c r="AI189" s="12" t="s">
        <v>206</v>
      </c>
      <c r="AJ189" s="12" t="s">
        <v>146</v>
      </c>
      <c r="AK189" s="12" t="s">
        <v>226</v>
      </c>
      <c r="AY189">
        <v>230</v>
      </c>
      <c r="AZ189" t="s">
        <v>149</v>
      </c>
      <c r="BL189" t="s">
        <v>409</v>
      </c>
      <c r="BM189" t="b">
        <v>0</v>
      </c>
      <c r="BN189" s="12" t="s">
        <v>154</v>
      </c>
      <c r="BP189" t="s">
        <v>155</v>
      </c>
      <c r="BT189" t="s">
        <v>340</v>
      </c>
      <c r="BV189" t="s">
        <v>625</v>
      </c>
      <c r="BY189" t="s">
        <v>155</v>
      </c>
      <c r="CA189" s="12" t="s">
        <v>218</v>
      </c>
      <c r="CE189" t="s">
        <v>225</v>
      </c>
      <c r="CH189" t="s">
        <v>409</v>
      </c>
      <c r="CU189" t="s">
        <v>578</v>
      </c>
      <c r="DB189">
        <v>1</v>
      </c>
      <c r="DC189" t="b">
        <v>0</v>
      </c>
      <c r="DD189" t="s">
        <v>626</v>
      </c>
      <c r="DP189">
        <v>1</v>
      </c>
      <c r="DV189">
        <f t="shared" si="155"/>
        <v>0.5</v>
      </c>
    </row>
    <row r="190" spans="1:131" ht="150" hidden="1" x14ac:dyDescent="0.25">
      <c r="A190" t="s">
        <v>627</v>
      </c>
      <c r="B190" t="s">
        <v>447</v>
      </c>
      <c r="C190" t="s">
        <v>448</v>
      </c>
      <c r="D190" t="s">
        <v>589</v>
      </c>
      <c r="E190" t="s">
        <v>590</v>
      </c>
      <c r="F190" t="s">
        <v>617</v>
      </c>
      <c r="G190" t="s">
        <v>618</v>
      </c>
      <c r="H190" t="s">
        <v>612</v>
      </c>
      <c r="I190" t="s">
        <v>613</v>
      </c>
      <c r="L190" s="11" t="s">
        <v>628</v>
      </c>
      <c r="M190" t="s">
        <v>137</v>
      </c>
      <c r="N190" t="b">
        <v>0</v>
      </c>
      <c r="CA190" s="12" t="s">
        <v>218</v>
      </c>
      <c r="DL190" t="s">
        <v>629</v>
      </c>
      <c r="DV190">
        <f t="shared" si="155"/>
        <v>0.5</v>
      </c>
    </row>
    <row r="191" spans="1:131" hidden="1" x14ac:dyDescent="0.25">
      <c r="A191" t="s">
        <v>630</v>
      </c>
      <c r="B191" t="s">
        <v>447</v>
      </c>
      <c r="C191" t="s">
        <v>448</v>
      </c>
      <c r="D191" t="s">
        <v>589</v>
      </c>
      <c r="E191" t="s">
        <v>590</v>
      </c>
      <c r="F191" t="s">
        <v>631</v>
      </c>
      <c r="G191" t="s">
        <v>618</v>
      </c>
      <c r="H191" t="s">
        <v>354</v>
      </c>
      <c r="I191" t="s">
        <v>355</v>
      </c>
      <c r="M191" t="s">
        <v>137</v>
      </c>
      <c r="N191" t="b">
        <v>0</v>
      </c>
      <c r="AR191" s="12" t="str">
        <f>HYPERLINK("https://www.google.com/search?q=","")</f>
        <v/>
      </c>
      <c r="CC191" s="12" t="b">
        <v>1</v>
      </c>
      <c r="CI191" s="12"/>
      <c r="CJ191" s="12" t="s">
        <v>619</v>
      </c>
      <c r="CK191" s="12"/>
      <c r="CL191" s="12"/>
      <c r="CM191" s="12"/>
      <c r="CN191" t="s">
        <v>356</v>
      </c>
      <c r="CO191" s="12" t="s">
        <v>620</v>
      </c>
      <c r="DD191" s="12"/>
      <c r="DG191" s="12"/>
      <c r="DV191">
        <f t="shared" si="155"/>
        <v>0.5</v>
      </c>
    </row>
    <row r="192" spans="1:131" ht="150" hidden="1" x14ac:dyDescent="0.25">
      <c r="A192" t="s">
        <v>632</v>
      </c>
      <c r="B192" t="s">
        <v>447</v>
      </c>
      <c r="C192" t="s">
        <v>448</v>
      </c>
      <c r="D192" t="s">
        <v>589</v>
      </c>
      <c r="E192" t="s">
        <v>590</v>
      </c>
      <c r="F192" t="s">
        <v>631</v>
      </c>
      <c r="G192" t="s">
        <v>618</v>
      </c>
      <c r="H192" t="s">
        <v>633</v>
      </c>
      <c r="I192" t="s">
        <v>634</v>
      </c>
      <c r="L192" s="11" t="s">
        <v>628</v>
      </c>
      <c r="M192" t="s">
        <v>137</v>
      </c>
      <c r="N192" t="b">
        <v>0</v>
      </c>
      <c r="P192" s="12"/>
      <c r="Q192" s="12"/>
      <c r="R192" s="12"/>
      <c r="S192" t="s">
        <v>225</v>
      </c>
      <c r="T192" s="12" t="s">
        <v>380</v>
      </c>
      <c r="U192" s="12"/>
      <c r="V192" t="s">
        <v>225</v>
      </c>
      <c r="Z192" s="12">
        <v>100</v>
      </c>
      <c r="AB192" s="12"/>
      <c r="AC192" t="s">
        <v>225</v>
      </c>
      <c r="AD192" s="12"/>
      <c r="AE192" s="12" t="s">
        <v>205</v>
      </c>
      <c r="AF192" s="12" t="s">
        <v>171</v>
      </c>
      <c r="AI192" s="12" t="s">
        <v>206</v>
      </c>
      <c r="AJ192" s="12" t="s">
        <v>146</v>
      </c>
      <c r="AK192" s="12" t="s">
        <v>226</v>
      </c>
      <c r="AY192" s="12">
        <v>130</v>
      </c>
      <c r="AZ192" t="s">
        <v>149</v>
      </c>
      <c r="BL192" s="12" t="s">
        <v>409</v>
      </c>
      <c r="BM192" s="12" t="b">
        <v>0</v>
      </c>
      <c r="BN192" s="12" t="s">
        <v>154</v>
      </c>
      <c r="BP192" s="12" t="s">
        <v>155</v>
      </c>
      <c r="BT192" s="12" t="s">
        <v>340</v>
      </c>
      <c r="BV192" s="12" t="s">
        <v>625</v>
      </c>
      <c r="BY192" s="12" t="s">
        <v>155</v>
      </c>
      <c r="CA192" s="12" t="s">
        <v>218</v>
      </c>
      <c r="CD192" s="12"/>
      <c r="CE192" t="s">
        <v>225</v>
      </c>
      <c r="CH192" s="12" t="s">
        <v>409</v>
      </c>
      <c r="CU192" s="12" t="s">
        <v>578</v>
      </c>
      <c r="DB192" s="12">
        <v>1</v>
      </c>
      <c r="DC192" s="12" t="b">
        <v>0</v>
      </c>
      <c r="DD192" s="12" t="s">
        <v>626</v>
      </c>
      <c r="DG192" s="12"/>
      <c r="DP192" s="12">
        <v>1</v>
      </c>
      <c r="DV192">
        <f t="shared" si="155"/>
        <v>0.5</v>
      </c>
    </row>
    <row r="193" spans="1:126" ht="150" hidden="1" x14ac:dyDescent="0.25">
      <c r="A193" t="s">
        <v>635</v>
      </c>
      <c r="B193" t="s">
        <v>447</v>
      </c>
      <c r="C193" t="s">
        <v>448</v>
      </c>
      <c r="D193" t="s">
        <v>589</v>
      </c>
      <c r="E193" t="s">
        <v>590</v>
      </c>
      <c r="F193" t="s">
        <v>631</v>
      </c>
      <c r="G193" t="s">
        <v>618</v>
      </c>
      <c r="H193" t="s">
        <v>612</v>
      </c>
      <c r="I193" t="s">
        <v>613</v>
      </c>
      <c r="L193" s="11" t="s">
        <v>628</v>
      </c>
      <c r="M193" t="s">
        <v>137</v>
      </c>
      <c r="N193" t="b">
        <v>0</v>
      </c>
      <c r="CA193" s="12" t="s">
        <v>218</v>
      </c>
      <c r="DL193" t="s">
        <v>629</v>
      </c>
      <c r="DV193">
        <f t="shared" si="155"/>
        <v>0.5</v>
      </c>
    </row>
    <row r="194" spans="1:126" hidden="1" x14ac:dyDescent="0.25">
      <c r="A194" t="s">
        <v>636</v>
      </c>
      <c r="B194" t="s">
        <v>447</v>
      </c>
      <c r="C194" t="s">
        <v>448</v>
      </c>
      <c r="D194" t="s">
        <v>589</v>
      </c>
      <c r="E194" t="s">
        <v>590</v>
      </c>
      <c r="F194" t="s">
        <v>637</v>
      </c>
      <c r="G194" t="s">
        <v>634</v>
      </c>
      <c r="H194" t="s">
        <v>166</v>
      </c>
      <c r="I194" t="s">
        <v>634</v>
      </c>
      <c r="L194" t="s">
        <v>638</v>
      </c>
      <c r="M194" t="s">
        <v>137</v>
      </c>
      <c r="N194" t="b">
        <v>0</v>
      </c>
      <c r="P194" s="12"/>
      <c r="Q194" s="12"/>
      <c r="R194" s="12"/>
      <c r="S194" t="s">
        <v>225</v>
      </c>
      <c r="T194" s="12"/>
      <c r="U194" s="12"/>
      <c r="V194" t="s">
        <v>225</v>
      </c>
      <c r="Z194" s="12"/>
      <c r="AB194" s="12"/>
      <c r="AC194" t="s">
        <v>225</v>
      </c>
      <c r="AD194" s="12"/>
      <c r="AE194" s="12" t="s">
        <v>205</v>
      </c>
      <c r="AF194" s="12" t="s">
        <v>171</v>
      </c>
      <c r="AI194" s="12" t="s">
        <v>206</v>
      </c>
      <c r="AJ194" s="12" t="s">
        <v>146</v>
      </c>
      <c r="AK194" s="12" t="s">
        <v>226</v>
      </c>
      <c r="AY194" s="12">
        <v>400</v>
      </c>
      <c r="AZ194" t="s">
        <v>149</v>
      </c>
      <c r="BL194" s="12" t="s">
        <v>333</v>
      </c>
      <c r="BM194" s="12" t="b">
        <v>0</v>
      </c>
      <c r="BN194" s="12" t="s">
        <v>155</v>
      </c>
      <c r="BP194" s="12" t="s">
        <v>155</v>
      </c>
      <c r="BT194" s="12" t="s">
        <v>196</v>
      </c>
      <c r="BV194" s="12" t="s">
        <v>625</v>
      </c>
      <c r="BY194" s="12" t="s">
        <v>155</v>
      </c>
      <c r="CA194" s="12" t="s">
        <v>218</v>
      </c>
      <c r="CD194" s="12">
        <v>40</v>
      </c>
      <c r="CE194" t="s">
        <v>148</v>
      </c>
      <c r="CH194" s="12"/>
      <c r="CU194" s="12"/>
      <c r="DB194" s="12"/>
      <c r="DC194" s="12" t="b">
        <v>0</v>
      </c>
      <c r="DD194" s="12" t="s">
        <v>219</v>
      </c>
      <c r="DG194" s="12" t="s">
        <v>639</v>
      </c>
      <c r="DP194" s="12">
        <v>2</v>
      </c>
      <c r="DV194">
        <f t="shared" si="155"/>
        <v>0.5</v>
      </c>
    </row>
    <row r="195" spans="1:126" hidden="1" x14ac:dyDescent="0.25">
      <c r="A195" t="s">
        <v>640</v>
      </c>
      <c r="B195" t="s">
        <v>447</v>
      </c>
      <c r="C195" t="s">
        <v>448</v>
      </c>
      <c r="D195" t="s">
        <v>589</v>
      </c>
      <c r="E195" t="s">
        <v>590</v>
      </c>
      <c r="F195" t="s">
        <v>641</v>
      </c>
      <c r="G195" t="s">
        <v>634</v>
      </c>
      <c r="H195" t="s">
        <v>166</v>
      </c>
      <c r="I195" t="s">
        <v>634</v>
      </c>
      <c r="L195" t="s">
        <v>638</v>
      </c>
      <c r="M195" t="s">
        <v>137</v>
      </c>
      <c r="N195" t="b">
        <v>0</v>
      </c>
      <c r="P195" s="12"/>
      <c r="Q195" s="12"/>
      <c r="R195" s="12"/>
      <c r="S195" t="s">
        <v>225</v>
      </c>
      <c r="T195" s="12"/>
      <c r="U195" s="12"/>
      <c r="V195" t="s">
        <v>225</v>
      </c>
      <c r="Z195" s="12"/>
      <c r="AB195" s="12"/>
      <c r="AC195" t="s">
        <v>225</v>
      </c>
      <c r="AD195" s="12"/>
      <c r="AE195" s="12" t="s">
        <v>205</v>
      </c>
      <c r="AF195" s="12" t="s">
        <v>171</v>
      </c>
      <c r="AI195" s="12" t="s">
        <v>206</v>
      </c>
      <c r="AJ195" s="12" t="s">
        <v>146</v>
      </c>
      <c r="AK195" s="12" t="s">
        <v>226</v>
      </c>
      <c r="AY195" s="12">
        <v>400</v>
      </c>
      <c r="AZ195" t="s">
        <v>149</v>
      </c>
      <c r="BL195" s="12" t="s">
        <v>333</v>
      </c>
      <c r="BM195" s="12" t="b">
        <v>0</v>
      </c>
      <c r="BN195" s="12" t="s">
        <v>155</v>
      </c>
      <c r="BP195" s="12" t="s">
        <v>155</v>
      </c>
      <c r="BT195" s="12" t="s">
        <v>196</v>
      </c>
      <c r="BV195" s="12" t="s">
        <v>625</v>
      </c>
      <c r="BY195" s="12" t="s">
        <v>155</v>
      </c>
      <c r="CA195" s="12" t="s">
        <v>218</v>
      </c>
      <c r="CD195" s="12">
        <v>40</v>
      </c>
      <c r="CE195" t="s">
        <v>148</v>
      </c>
      <c r="CH195" s="12"/>
      <c r="CU195" s="12"/>
      <c r="DB195" s="12"/>
      <c r="DC195" s="12" t="b">
        <v>0</v>
      </c>
      <c r="DD195" s="12" t="s">
        <v>219</v>
      </c>
      <c r="DG195" s="12" t="s">
        <v>639</v>
      </c>
      <c r="DP195" s="12">
        <v>2</v>
      </c>
      <c r="DV195">
        <f t="shared" si="155"/>
        <v>1</v>
      </c>
    </row>
    <row r="196" spans="1:126" hidden="1" x14ac:dyDescent="0.25">
      <c r="A196" t="s">
        <v>642</v>
      </c>
      <c r="B196" t="s">
        <v>447</v>
      </c>
      <c r="C196" t="s">
        <v>448</v>
      </c>
      <c r="D196" t="s">
        <v>643</v>
      </c>
      <c r="E196" t="s">
        <v>644</v>
      </c>
      <c r="F196" t="s">
        <v>591</v>
      </c>
      <c r="G196" t="s">
        <v>319</v>
      </c>
      <c r="H196" t="s">
        <v>320</v>
      </c>
      <c r="I196" t="s">
        <v>319</v>
      </c>
      <c r="M196" t="s">
        <v>137</v>
      </c>
      <c r="N196" t="b">
        <v>0</v>
      </c>
      <c r="Z196" s="12"/>
      <c r="AI196" s="12" t="s">
        <v>206</v>
      </c>
      <c r="AJ196" s="12" t="s">
        <v>146</v>
      </c>
      <c r="AK196" s="12" t="s">
        <v>226</v>
      </c>
      <c r="AO196" s="12">
        <v>10</v>
      </c>
      <c r="AP196" t="s">
        <v>592</v>
      </c>
      <c r="BG196" s="12"/>
      <c r="BV196" s="12" t="s">
        <v>645</v>
      </c>
      <c r="CW196" s="12" t="s">
        <v>594</v>
      </c>
      <c r="DB196" s="12">
        <v>1</v>
      </c>
      <c r="DV196">
        <f t="shared" si="155"/>
        <v>1</v>
      </c>
    </row>
    <row r="197" spans="1:126" hidden="1" x14ac:dyDescent="0.25">
      <c r="A197" t="s">
        <v>646</v>
      </c>
      <c r="B197" t="s">
        <v>447</v>
      </c>
      <c r="C197" t="s">
        <v>448</v>
      </c>
      <c r="D197" t="s">
        <v>643</v>
      </c>
      <c r="E197" t="s">
        <v>644</v>
      </c>
      <c r="F197" t="s">
        <v>596</v>
      </c>
      <c r="H197" t="s">
        <v>166</v>
      </c>
      <c r="I197" t="s">
        <v>201</v>
      </c>
      <c r="L197" t="s">
        <v>597</v>
      </c>
      <c r="M197" t="s">
        <v>137</v>
      </c>
      <c r="N197" t="b">
        <v>0</v>
      </c>
      <c r="P197" s="12" t="s">
        <v>647</v>
      </c>
      <c r="Q197" s="12" t="s">
        <v>647</v>
      </c>
      <c r="X197" s="12">
        <v>6000</v>
      </c>
      <c r="Y197" s="12">
        <v>45</v>
      </c>
      <c r="Z197" s="12">
        <v>1500</v>
      </c>
      <c r="AA197" s="12" t="s">
        <v>169</v>
      </c>
      <c r="AE197" s="12" t="s">
        <v>205</v>
      </c>
      <c r="AF197" s="12" t="s">
        <v>171</v>
      </c>
      <c r="AI197" s="12" t="s">
        <v>206</v>
      </c>
      <c r="AJ197" s="12" t="s">
        <v>146</v>
      </c>
      <c r="AK197" s="12" t="s">
        <v>226</v>
      </c>
      <c r="AL197" s="12" t="s">
        <v>209</v>
      </c>
      <c r="AM197" s="12">
        <v>42</v>
      </c>
      <c r="AN197" t="s">
        <v>175</v>
      </c>
      <c r="AO197" s="12">
        <v>3</v>
      </c>
      <c r="AP197" t="s">
        <v>176</v>
      </c>
      <c r="AQ197" s="12" t="b">
        <v>1</v>
      </c>
      <c r="AR197" s="12" t="str">
        <f>HYPERLINK("https://www.google.com/search?q=SEW","SEW")</f>
        <v>SEW</v>
      </c>
      <c r="BR197" s="12" t="s">
        <v>155</v>
      </c>
      <c r="BV197" s="12" t="s">
        <v>210</v>
      </c>
      <c r="CF197" s="12" t="s">
        <v>187</v>
      </c>
      <c r="CS197" s="12" t="s">
        <v>181</v>
      </c>
      <c r="DA197" s="12">
        <v>2</v>
      </c>
      <c r="DN197" s="12" t="b">
        <v>0</v>
      </c>
      <c r="DQ197">
        <f t="shared" ref="DQ197:DQ198" si="156">IF(T197="Ball",10,0)</f>
        <v>0</v>
      </c>
      <c r="DR197">
        <f t="shared" ref="DR197:DR198" si="157">+T197</f>
        <v>0</v>
      </c>
      <c r="DV197">
        <f t="shared" si="155"/>
        <v>0.5</v>
      </c>
    </row>
    <row r="198" spans="1:126" hidden="1" x14ac:dyDescent="0.25">
      <c r="A198" t="s">
        <v>648</v>
      </c>
      <c r="B198" t="s">
        <v>447</v>
      </c>
      <c r="C198" t="s">
        <v>448</v>
      </c>
      <c r="D198" t="s">
        <v>643</v>
      </c>
      <c r="E198" t="s">
        <v>644</v>
      </c>
      <c r="F198" t="s">
        <v>599</v>
      </c>
      <c r="H198" t="s">
        <v>166</v>
      </c>
      <c r="I198" t="s">
        <v>201</v>
      </c>
      <c r="M198" t="s">
        <v>137</v>
      </c>
      <c r="N198" t="b">
        <v>0</v>
      </c>
      <c r="P198" s="12" t="s">
        <v>647</v>
      </c>
      <c r="Q198" s="12" t="s">
        <v>647</v>
      </c>
      <c r="X198" s="12">
        <v>5000</v>
      </c>
      <c r="Y198" s="12">
        <v>2600</v>
      </c>
      <c r="Z198" s="12">
        <v>1000</v>
      </c>
      <c r="AA198" s="12" t="s">
        <v>169</v>
      </c>
      <c r="AE198" s="12" t="s">
        <v>205</v>
      </c>
      <c r="AF198" s="12" t="s">
        <v>171</v>
      </c>
      <c r="AI198" s="12" t="s">
        <v>206</v>
      </c>
      <c r="AJ198" s="12" t="s">
        <v>146</v>
      </c>
      <c r="AK198" s="12" t="s">
        <v>226</v>
      </c>
      <c r="AL198" s="12" t="s">
        <v>209</v>
      </c>
      <c r="AM198" s="12">
        <v>42</v>
      </c>
      <c r="AN198" t="s">
        <v>175</v>
      </c>
      <c r="AO198" s="12">
        <v>3</v>
      </c>
      <c r="AP198" t="s">
        <v>176</v>
      </c>
      <c r="AQ198" s="12" t="b">
        <v>1</v>
      </c>
      <c r="AR198" s="12" t="str">
        <f>HYPERLINK("https://www.google.com/search?q=SEW","SEW")</f>
        <v>SEW</v>
      </c>
      <c r="BR198" s="12" t="s">
        <v>178</v>
      </c>
      <c r="BV198" s="12" t="s">
        <v>210</v>
      </c>
      <c r="CF198" s="12" t="s">
        <v>187</v>
      </c>
      <c r="CS198" s="12" t="s">
        <v>227</v>
      </c>
      <c r="DA198" s="12">
        <v>2</v>
      </c>
      <c r="DN198" s="12" t="b">
        <v>0</v>
      </c>
      <c r="DQ198">
        <f t="shared" si="156"/>
        <v>0</v>
      </c>
      <c r="DR198">
        <f t="shared" si="157"/>
        <v>0</v>
      </c>
      <c r="DV198">
        <f t="shared" si="155"/>
        <v>0.5</v>
      </c>
    </row>
    <row r="199" spans="1:126" hidden="1" x14ac:dyDescent="0.25">
      <c r="A199" t="s">
        <v>649</v>
      </c>
      <c r="B199" t="s">
        <v>447</v>
      </c>
      <c r="C199" t="s">
        <v>448</v>
      </c>
      <c r="D199" t="s">
        <v>643</v>
      </c>
      <c r="E199" t="s">
        <v>644</v>
      </c>
      <c r="F199" t="s">
        <v>603</v>
      </c>
      <c r="G199" t="s">
        <v>140</v>
      </c>
      <c r="H199" t="s">
        <v>141</v>
      </c>
      <c r="I199" t="s">
        <v>142</v>
      </c>
      <c r="M199" t="s">
        <v>137</v>
      </c>
      <c r="N199" t="b">
        <v>0</v>
      </c>
      <c r="Y199" s="12">
        <v>45</v>
      </c>
      <c r="AE199" s="12" t="s">
        <v>144</v>
      </c>
      <c r="AI199" s="12" t="s">
        <v>145</v>
      </c>
      <c r="AJ199" s="12" t="s">
        <v>146</v>
      </c>
      <c r="AK199" s="12" t="s">
        <v>147</v>
      </c>
      <c r="AR199" s="12" t="str">
        <f>HYPERLINK("https://www.google.com/search?q=CMD Ermaster R4HC39","CMD Ermaster R4HC39")</f>
        <v>CMD Ermaster R4HC39</v>
      </c>
      <c r="AS199">
        <v>800</v>
      </c>
      <c r="AT199" t="s">
        <v>148</v>
      </c>
      <c r="AU199">
        <v>500</v>
      </c>
      <c r="AV199" t="s">
        <v>148</v>
      </c>
      <c r="AW199">
        <v>1400</v>
      </c>
      <c r="AX199" t="s">
        <v>148</v>
      </c>
      <c r="AY199" s="12">
        <v>45</v>
      </c>
      <c r="AZ199" t="s">
        <v>149</v>
      </c>
      <c r="BF199" s="12" t="s">
        <v>332</v>
      </c>
      <c r="BH199" s="12" t="s">
        <v>151</v>
      </c>
      <c r="BI199" s="12" t="s">
        <v>152</v>
      </c>
      <c r="BL199" s="12" t="s">
        <v>153</v>
      </c>
      <c r="BN199" s="12" t="s">
        <v>154</v>
      </c>
      <c r="BP199" s="12" t="s">
        <v>155</v>
      </c>
      <c r="BT199" s="12" t="s">
        <v>156</v>
      </c>
      <c r="BV199" s="12" t="s">
        <v>650</v>
      </c>
      <c r="BY199" s="12" t="s">
        <v>155</v>
      </c>
      <c r="CA199" s="12" t="s">
        <v>218</v>
      </c>
      <c r="CD199" s="12">
        <v>320</v>
      </c>
      <c r="CE199" t="s">
        <v>148</v>
      </c>
      <c r="CH199" s="12" t="s">
        <v>159</v>
      </c>
      <c r="CU199" s="12" t="s">
        <v>159</v>
      </c>
      <c r="DC199" s="12" t="b">
        <v>1</v>
      </c>
      <c r="DD199" s="12" t="s">
        <v>219</v>
      </c>
      <c r="DG199" s="12" t="s">
        <v>161</v>
      </c>
      <c r="DV199">
        <f t="shared" si="155"/>
        <v>0.5</v>
      </c>
    </row>
    <row r="200" spans="1:126" hidden="1" x14ac:dyDescent="0.25">
      <c r="A200" t="s">
        <v>651</v>
      </c>
      <c r="B200" t="s">
        <v>447</v>
      </c>
      <c r="C200" t="s">
        <v>448</v>
      </c>
      <c r="D200" t="s">
        <v>643</v>
      </c>
      <c r="E200" t="s">
        <v>644</v>
      </c>
      <c r="F200" t="s">
        <v>457</v>
      </c>
      <c r="G200" t="s">
        <v>140</v>
      </c>
      <c r="H200" t="s">
        <v>141</v>
      </c>
      <c r="I200" t="s">
        <v>142</v>
      </c>
      <c r="L200" t="s">
        <v>606</v>
      </c>
      <c r="M200" t="s">
        <v>137</v>
      </c>
      <c r="N200" t="b">
        <v>0</v>
      </c>
      <c r="Y200" s="12">
        <v>2600</v>
      </c>
      <c r="AE200" s="12" t="s">
        <v>144</v>
      </c>
      <c r="AI200" s="12" t="s">
        <v>206</v>
      </c>
      <c r="AJ200" s="12" t="s">
        <v>146</v>
      </c>
      <c r="AK200" s="12" t="s">
        <v>226</v>
      </c>
      <c r="AR200" s="12" t="str">
        <f>HYPERLINK("https://www.google.com/search?q=CMD Ermaster R2HC52","CMD Ermaster R2HC52")</f>
        <v>CMD Ermaster R2HC52</v>
      </c>
      <c r="AS200">
        <v>1200</v>
      </c>
      <c r="AT200" t="s">
        <v>148</v>
      </c>
      <c r="AU200">
        <v>800</v>
      </c>
      <c r="AV200" t="s">
        <v>148</v>
      </c>
      <c r="AW200">
        <v>1600</v>
      </c>
      <c r="AX200" t="s">
        <v>148</v>
      </c>
      <c r="AY200" s="12">
        <v>100</v>
      </c>
      <c r="AZ200" t="s">
        <v>149</v>
      </c>
      <c r="BF200" s="12" t="s">
        <v>332</v>
      </c>
      <c r="BH200" s="12" t="s">
        <v>151</v>
      </c>
      <c r="BI200" s="12" t="s">
        <v>152</v>
      </c>
      <c r="BL200" s="12" t="s">
        <v>159</v>
      </c>
      <c r="BN200" s="12" t="s">
        <v>607</v>
      </c>
      <c r="BP200" s="12" t="s">
        <v>155</v>
      </c>
      <c r="BT200" s="12" t="s">
        <v>604</v>
      </c>
      <c r="BV200" s="12" t="s">
        <v>650</v>
      </c>
      <c r="BY200" s="12" t="s">
        <v>155</v>
      </c>
      <c r="CA200" s="12" t="s">
        <v>218</v>
      </c>
      <c r="CD200" s="12">
        <v>300</v>
      </c>
      <c r="CE200" t="s">
        <v>148</v>
      </c>
      <c r="CH200" s="12" t="s">
        <v>412</v>
      </c>
      <c r="CU200" s="12"/>
      <c r="DC200" s="12" t="b">
        <v>1</v>
      </c>
      <c r="DD200" s="12" t="s">
        <v>607</v>
      </c>
      <c r="DG200" s="12"/>
      <c r="DV200">
        <f t="shared" si="155"/>
        <v>0.5</v>
      </c>
    </row>
    <row r="201" spans="1:126" hidden="1" x14ac:dyDescent="0.25">
      <c r="A201" t="s">
        <v>652</v>
      </c>
      <c r="B201" t="s">
        <v>447</v>
      </c>
      <c r="C201" t="s">
        <v>448</v>
      </c>
      <c r="D201" t="s">
        <v>643</v>
      </c>
      <c r="E201" t="s">
        <v>644</v>
      </c>
      <c r="F201" t="s">
        <v>457</v>
      </c>
      <c r="G201" t="s">
        <v>140</v>
      </c>
      <c r="H201" t="s">
        <v>354</v>
      </c>
      <c r="I201" t="s">
        <v>355</v>
      </c>
      <c r="M201" t="s">
        <v>137</v>
      </c>
      <c r="N201" t="b">
        <v>0</v>
      </c>
      <c r="AR201" s="12" t="str">
        <f>HYPERLINK("https://www.google.com/search?q=","")</f>
        <v/>
      </c>
      <c r="CC201" s="12" t="b">
        <v>1</v>
      </c>
      <c r="CI201" s="12"/>
      <c r="CJ201" s="12" t="s">
        <v>609</v>
      </c>
      <c r="CK201" s="12" t="s">
        <v>610</v>
      </c>
      <c r="CL201" s="12"/>
      <c r="CM201" s="12"/>
      <c r="CN201" t="s">
        <v>356</v>
      </c>
      <c r="CO201" s="12" t="s">
        <v>357</v>
      </c>
      <c r="DD201" s="12"/>
      <c r="DG201" s="12"/>
      <c r="DV201">
        <f t="shared" si="155"/>
        <v>0.5</v>
      </c>
    </row>
    <row r="202" spans="1:126" hidden="1" x14ac:dyDescent="0.25">
      <c r="A202" t="s">
        <v>653</v>
      </c>
      <c r="B202" t="s">
        <v>447</v>
      </c>
      <c r="C202" t="s">
        <v>448</v>
      </c>
      <c r="D202" t="s">
        <v>643</v>
      </c>
      <c r="E202" t="s">
        <v>644</v>
      </c>
      <c r="F202" t="s">
        <v>457</v>
      </c>
      <c r="G202" t="s">
        <v>140</v>
      </c>
      <c r="H202" t="s">
        <v>612</v>
      </c>
      <c r="I202" t="s">
        <v>613</v>
      </c>
      <c r="M202" t="s">
        <v>137</v>
      </c>
      <c r="N202" t="b">
        <v>0</v>
      </c>
      <c r="DV202">
        <f t="shared" si="155"/>
        <v>0.5</v>
      </c>
    </row>
    <row r="203" spans="1:126" hidden="1" x14ac:dyDescent="0.25">
      <c r="A203" t="s">
        <v>654</v>
      </c>
      <c r="B203" t="s">
        <v>447</v>
      </c>
      <c r="C203" t="s">
        <v>448</v>
      </c>
      <c r="D203" t="s">
        <v>643</v>
      </c>
      <c r="E203" t="s">
        <v>644</v>
      </c>
      <c r="F203" t="s">
        <v>435</v>
      </c>
      <c r="G203" t="s">
        <v>436</v>
      </c>
      <c r="H203" t="s">
        <v>437</v>
      </c>
      <c r="I203" t="s">
        <v>438</v>
      </c>
      <c r="L203" t="s">
        <v>655</v>
      </c>
      <c r="M203" t="s">
        <v>137</v>
      </c>
      <c r="N203" t="b">
        <v>0</v>
      </c>
      <c r="AM203" s="12">
        <v>180000</v>
      </c>
      <c r="AN203" t="s">
        <v>175</v>
      </c>
      <c r="AO203" s="12"/>
      <c r="AP203" t="s">
        <v>186</v>
      </c>
      <c r="AR203" s="12" t="str">
        <f>HYPERLINK("https://www.google.com/search?q=","")</f>
        <v/>
      </c>
      <c r="BA203" s="12">
        <v>180000</v>
      </c>
      <c r="BB203" t="s">
        <v>175</v>
      </c>
      <c r="BR203" s="12" t="s">
        <v>155</v>
      </c>
      <c r="BV203" s="12" t="s">
        <v>645</v>
      </c>
      <c r="CS203" s="12"/>
      <c r="CT203" s="12" t="s">
        <v>656</v>
      </c>
      <c r="DA203" s="12"/>
      <c r="DB203" s="12">
        <v>1</v>
      </c>
      <c r="DV203">
        <f t="shared" si="155"/>
        <v>0.5</v>
      </c>
    </row>
    <row r="204" spans="1:126" hidden="1" x14ac:dyDescent="0.25">
      <c r="A204" t="s">
        <v>657</v>
      </c>
      <c r="B204" t="s">
        <v>447</v>
      </c>
      <c r="C204" t="s">
        <v>448</v>
      </c>
      <c r="D204" t="s">
        <v>643</v>
      </c>
      <c r="E204" t="s">
        <v>644</v>
      </c>
      <c r="F204" t="s">
        <v>658</v>
      </c>
      <c r="G204" t="s">
        <v>618</v>
      </c>
      <c r="H204" t="s">
        <v>354</v>
      </c>
      <c r="I204" t="s">
        <v>355</v>
      </c>
      <c r="M204" t="s">
        <v>137</v>
      </c>
      <c r="N204" t="b">
        <v>0</v>
      </c>
      <c r="AR204" s="12" t="str">
        <f>HYPERLINK("https://www.google.com/search?q=","")</f>
        <v/>
      </c>
      <c r="CC204" s="12" t="b">
        <v>1</v>
      </c>
      <c r="CI204" s="12"/>
      <c r="CJ204" s="12" t="s">
        <v>609</v>
      </c>
      <c r="CK204" s="12"/>
      <c r="CL204" s="12"/>
      <c r="CM204" s="12"/>
      <c r="CN204" t="s">
        <v>356</v>
      </c>
      <c r="CO204" s="12" t="s">
        <v>357</v>
      </c>
      <c r="DD204" s="12"/>
      <c r="DG204" s="12"/>
      <c r="DV204">
        <f t="shared" si="155"/>
        <v>0.5</v>
      </c>
    </row>
    <row r="205" spans="1:126" hidden="1" x14ac:dyDescent="0.25">
      <c r="A205" t="s">
        <v>659</v>
      </c>
      <c r="B205" t="s">
        <v>447</v>
      </c>
      <c r="C205" t="s">
        <v>448</v>
      </c>
      <c r="D205" t="s">
        <v>643</v>
      </c>
      <c r="E205" t="s">
        <v>644</v>
      </c>
      <c r="F205" t="s">
        <v>658</v>
      </c>
      <c r="G205" t="s">
        <v>618</v>
      </c>
      <c r="H205" t="s">
        <v>622</v>
      </c>
      <c r="I205" t="s">
        <v>623</v>
      </c>
      <c r="L205" t="s">
        <v>660</v>
      </c>
      <c r="M205" t="s">
        <v>137</v>
      </c>
      <c r="N205" t="b">
        <v>0</v>
      </c>
      <c r="AE205" s="12" t="s">
        <v>205</v>
      </c>
      <c r="AI205" s="12" t="s">
        <v>206</v>
      </c>
      <c r="AJ205" s="12" t="s">
        <v>146</v>
      </c>
      <c r="AK205" s="12" t="s">
        <v>226</v>
      </c>
      <c r="BN205" s="12" t="s">
        <v>154</v>
      </c>
      <c r="CA205" s="12" t="s">
        <v>158</v>
      </c>
      <c r="DD205" t="s">
        <v>661</v>
      </c>
      <c r="DV205">
        <f t="shared" si="155"/>
        <v>0.5</v>
      </c>
    </row>
    <row r="206" spans="1:126" hidden="1" x14ac:dyDescent="0.25">
      <c r="A206" t="s">
        <v>662</v>
      </c>
      <c r="B206" t="s">
        <v>447</v>
      </c>
      <c r="C206" t="s">
        <v>448</v>
      </c>
      <c r="D206" t="s">
        <v>643</v>
      </c>
      <c r="E206" t="s">
        <v>644</v>
      </c>
      <c r="F206" t="s">
        <v>658</v>
      </c>
      <c r="G206" t="s">
        <v>618</v>
      </c>
      <c r="H206" t="s">
        <v>359</v>
      </c>
      <c r="I206" t="s">
        <v>663</v>
      </c>
      <c r="M206" t="s">
        <v>137</v>
      </c>
      <c r="N206" t="b">
        <v>0</v>
      </c>
      <c r="AI206" s="12" t="s">
        <v>206</v>
      </c>
      <c r="AJ206" s="12" t="s">
        <v>146</v>
      </c>
      <c r="AK206" s="12" t="s">
        <v>226</v>
      </c>
      <c r="AS206">
        <v>900</v>
      </c>
      <c r="AT206" t="s">
        <v>148</v>
      </c>
      <c r="AU206">
        <v>1200</v>
      </c>
      <c r="AV206" t="s">
        <v>148</v>
      </c>
      <c r="AY206" s="12">
        <v>650</v>
      </c>
      <c r="AZ206" t="s">
        <v>149</v>
      </c>
      <c r="BL206" s="12" t="s">
        <v>159</v>
      </c>
      <c r="BN206" s="12" t="s">
        <v>363</v>
      </c>
      <c r="BP206" s="12" t="s">
        <v>155</v>
      </c>
      <c r="BT206" s="12" t="s">
        <v>604</v>
      </c>
      <c r="BV206" s="12" t="s">
        <v>664</v>
      </c>
      <c r="BY206" s="12" t="s">
        <v>155</v>
      </c>
      <c r="CA206" s="12" t="s">
        <v>218</v>
      </c>
      <c r="CD206" s="12">
        <v>760</v>
      </c>
      <c r="CE206" t="s">
        <v>148</v>
      </c>
      <c r="CH206" s="12" t="s">
        <v>665</v>
      </c>
      <c r="CU206" s="12" t="s">
        <v>578</v>
      </c>
      <c r="DC206" s="12" t="b">
        <v>0</v>
      </c>
      <c r="DD206" s="12" t="s">
        <v>666</v>
      </c>
      <c r="DG206" s="12"/>
      <c r="DP206" s="12"/>
      <c r="DV206">
        <f t="shared" si="155"/>
        <v>0.5</v>
      </c>
    </row>
    <row r="207" spans="1:126" hidden="1" x14ac:dyDescent="0.25">
      <c r="A207" t="s">
        <v>667</v>
      </c>
      <c r="B207" t="s">
        <v>447</v>
      </c>
      <c r="C207" t="s">
        <v>448</v>
      </c>
      <c r="D207" t="s">
        <v>643</v>
      </c>
      <c r="E207" t="s">
        <v>644</v>
      </c>
      <c r="F207" t="s">
        <v>658</v>
      </c>
      <c r="G207" t="s">
        <v>618</v>
      </c>
      <c r="H207" t="s">
        <v>612</v>
      </c>
      <c r="I207" t="s">
        <v>613</v>
      </c>
      <c r="L207" t="s">
        <v>668</v>
      </c>
      <c r="M207" t="s">
        <v>137</v>
      </c>
      <c r="N207" t="b">
        <v>0</v>
      </c>
      <c r="CA207" s="12" t="s">
        <v>218</v>
      </c>
      <c r="DV207">
        <f t="shared" si="155"/>
        <v>0.5</v>
      </c>
    </row>
    <row r="208" spans="1:126" hidden="1" x14ac:dyDescent="0.25">
      <c r="A208" t="s">
        <v>669</v>
      </c>
      <c r="B208" t="s">
        <v>447</v>
      </c>
      <c r="C208" t="s">
        <v>448</v>
      </c>
      <c r="D208" t="s">
        <v>643</v>
      </c>
      <c r="E208" t="s">
        <v>644</v>
      </c>
      <c r="F208" t="s">
        <v>670</v>
      </c>
      <c r="G208" t="s">
        <v>618</v>
      </c>
      <c r="H208" t="s">
        <v>354</v>
      </c>
      <c r="I208" t="s">
        <v>355</v>
      </c>
      <c r="M208" t="s">
        <v>137</v>
      </c>
      <c r="N208" t="b">
        <v>0</v>
      </c>
      <c r="AR208" s="12" t="str">
        <f>HYPERLINK("https://www.google.com/search?q=","")</f>
        <v/>
      </c>
      <c r="CC208" s="12" t="b">
        <v>1</v>
      </c>
      <c r="CI208" s="12"/>
      <c r="CJ208" s="12" t="s">
        <v>609</v>
      </c>
      <c r="CK208" s="12"/>
      <c r="CL208" s="12"/>
      <c r="CM208" s="12"/>
      <c r="CN208" t="s">
        <v>356</v>
      </c>
      <c r="CO208" s="12" t="s">
        <v>357</v>
      </c>
      <c r="DD208" s="12"/>
      <c r="DG208" s="12"/>
      <c r="DV208">
        <f t="shared" si="155"/>
        <v>0.5</v>
      </c>
    </row>
    <row r="209" spans="1:126" hidden="1" x14ac:dyDescent="0.25">
      <c r="A209" t="s">
        <v>671</v>
      </c>
      <c r="B209" t="s">
        <v>447</v>
      </c>
      <c r="C209" t="s">
        <v>448</v>
      </c>
      <c r="D209" t="s">
        <v>643</v>
      </c>
      <c r="E209" t="s">
        <v>644</v>
      </c>
      <c r="F209" t="s">
        <v>670</v>
      </c>
      <c r="G209" t="s">
        <v>618</v>
      </c>
      <c r="H209" t="s">
        <v>633</v>
      </c>
      <c r="I209" t="s">
        <v>623</v>
      </c>
      <c r="L209" t="s">
        <v>660</v>
      </c>
      <c r="M209" t="s">
        <v>137</v>
      </c>
      <c r="N209" t="b">
        <v>0</v>
      </c>
      <c r="AE209" s="12" t="s">
        <v>205</v>
      </c>
      <c r="AI209" s="12" t="s">
        <v>206</v>
      </c>
      <c r="AJ209" s="12" t="s">
        <v>146</v>
      </c>
      <c r="AK209" s="12" t="s">
        <v>226</v>
      </c>
      <c r="BN209" s="12" t="s">
        <v>154</v>
      </c>
      <c r="CA209" s="12" t="s">
        <v>158</v>
      </c>
      <c r="DD209" t="s">
        <v>661</v>
      </c>
      <c r="DV209">
        <f t="shared" si="155"/>
        <v>0.5</v>
      </c>
    </row>
    <row r="210" spans="1:126" hidden="1" x14ac:dyDescent="0.25">
      <c r="A210" t="s">
        <v>672</v>
      </c>
      <c r="B210" t="s">
        <v>447</v>
      </c>
      <c r="C210" t="s">
        <v>448</v>
      </c>
      <c r="D210" t="s">
        <v>643</v>
      </c>
      <c r="E210" t="s">
        <v>644</v>
      </c>
      <c r="F210" t="s">
        <v>670</v>
      </c>
      <c r="G210" t="s">
        <v>618</v>
      </c>
      <c r="H210" t="s">
        <v>637</v>
      </c>
      <c r="I210" t="s">
        <v>623</v>
      </c>
      <c r="L210" t="s">
        <v>660</v>
      </c>
      <c r="M210" t="s">
        <v>137</v>
      </c>
      <c r="N210" t="b">
        <v>0</v>
      </c>
      <c r="AE210" s="12" t="s">
        <v>205</v>
      </c>
      <c r="AI210" s="12" t="s">
        <v>206</v>
      </c>
      <c r="AJ210" s="12" t="s">
        <v>146</v>
      </c>
      <c r="AK210" s="12" t="s">
        <v>226</v>
      </c>
      <c r="BN210" s="12" t="s">
        <v>155</v>
      </c>
      <c r="CA210" s="12" t="s">
        <v>158</v>
      </c>
      <c r="DV210">
        <f t="shared" si="155"/>
        <v>0.5</v>
      </c>
    </row>
    <row r="211" spans="1:126" hidden="1" x14ac:dyDescent="0.25">
      <c r="A211" t="s">
        <v>673</v>
      </c>
      <c r="B211" t="s">
        <v>447</v>
      </c>
      <c r="C211" t="s">
        <v>448</v>
      </c>
      <c r="D211" t="s">
        <v>643</v>
      </c>
      <c r="E211" t="s">
        <v>644</v>
      </c>
      <c r="F211" t="s">
        <v>670</v>
      </c>
      <c r="G211" t="s">
        <v>618</v>
      </c>
      <c r="H211" t="s">
        <v>641</v>
      </c>
      <c r="I211" t="s">
        <v>623</v>
      </c>
      <c r="L211" t="s">
        <v>660</v>
      </c>
      <c r="M211" t="s">
        <v>137</v>
      </c>
      <c r="N211" t="b">
        <v>0</v>
      </c>
      <c r="AE211" s="12" t="s">
        <v>205</v>
      </c>
      <c r="AI211" s="12" t="s">
        <v>206</v>
      </c>
      <c r="AJ211" s="12" t="s">
        <v>146</v>
      </c>
      <c r="AK211" s="12" t="s">
        <v>226</v>
      </c>
      <c r="BN211" s="12" t="s">
        <v>155</v>
      </c>
      <c r="CA211" s="12" t="s">
        <v>158</v>
      </c>
      <c r="DV211">
        <f t="shared" si="155"/>
        <v>0.5</v>
      </c>
    </row>
    <row r="212" spans="1:126" hidden="1" x14ac:dyDescent="0.25">
      <c r="A212" t="s">
        <v>674</v>
      </c>
      <c r="B212" t="s">
        <v>447</v>
      </c>
      <c r="C212" t="s">
        <v>448</v>
      </c>
      <c r="D212" t="s">
        <v>643</v>
      </c>
      <c r="E212" t="s">
        <v>644</v>
      </c>
      <c r="F212" t="s">
        <v>670</v>
      </c>
      <c r="G212" t="s">
        <v>618</v>
      </c>
      <c r="H212" t="s">
        <v>359</v>
      </c>
      <c r="I212" t="s">
        <v>663</v>
      </c>
      <c r="M212" t="s">
        <v>137</v>
      </c>
      <c r="N212" t="b">
        <v>0</v>
      </c>
      <c r="AI212" s="12" t="s">
        <v>206</v>
      </c>
      <c r="AJ212" s="12" t="s">
        <v>146</v>
      </c>
      <c r="AK212" s="12" t="s">
        <v>226</v>
      </c>
      <c r="AS212">
        <v>900</v>
      </c>
      <c r="AT212" t="s">
        <v>148</v>
      </c>
      <c r="AU212">
        <v>1200</v>
      </c>
      <c r="AV212" t="s">
        <v>148</v>
      </c>
      <c r="AY212" s="12">
        <v>650</v>
      </c>
      <c r="AZ212" t="s">
        <v>149</v>
      </c>
      <c r="BL212" s="12" t="s">
        <v>159</v>
      </c>
      <c r="BN212" s="12" t="s">
        <v>363</v>
      </c>
      <c r="BP212" s="12" t="s">
        <v>155</v>
      </c>
      <c r="BT212" s="12" t="s">
        <v>604</v>
      </c>
      <c r="BV212" s="12" t="s">
        <v>664</v>
      </c>
      <c r="BY212" s="12" t="s">
        <v>155</v>
      </c>
      <c r="CA212" s="12" t="s">
        <v>218</v>
      </c>
      <c r="CD212" s="12">
        <v>760</v>
      </c>
      <c r="CE212" t="s">
        <v>148</v>
      </c>
      <c r="CH212" s="12" t="s">
        <v>665</v>
      </c>
      <c r="CU212" s="12" t="s">
        <v>578</v>
      </c>
      <c r="DC212" s="12" t="b">
        <v>0</v>
      </c>
      <c r="DD212" s="12" t="s">
        <v>666</v>
      </c>
      <c r="DG212" s="12"/>
      <c r="DP212" s="12"/>
      <c r="DV212">
        <f t="shared" si="155"/>
        <v>0.5</v>
      </c>
    </row>
    <row r="213" spans="1:126" ht="330" hidden="1" x14ac:dyDescent="0.25">
      <c r="A213" t="s">
        <v>675</v>
      </c>
      <c r="B213" t="s">
        <v>447</v>
      </c>
      <c r="C213" t="s">
        <v>448</v>
      </c>
      <c r="D213" t="s">
        <v>643</v>
      </c>
      <c r="E213" t="s">
        <v>644</v>
      </c>
      <c r="F213" t="s">
        <v>670</v>
      </c>
      <c r="G213" t="s">
        <v>618</v>
      </c>
      <c r="H213" t="s">
        <v>612</v>
      </c>
      <c r="I213" t="s">
        <v>613</v>
      </c>
      <c r="L213" s="11" t="s">
        <v>676</v>
      </c>
      <c r="M213" t="s">
        <v>137</v>
      </c>
      <c r="N213" t="b">
        <v>0</v>
      </c>
      <c r="CA213" s="12"/>
      <c r="DV213">
        <f t="shared" si="155"/>
        <v>1</v>
      </c>
    </row>
    <row r="214" spans="1:126" hidden="1" x14ac:dyDescent="0.25">
      <c r="A214" t="s">
        <v>677</v>
      </c>
      <c r="B214" t="s">
        <v>447</v>
      </c>
      <c r="C214" t="s">
        <v>448</v>
      </c>
      <c r="D214" t="s">
        <v>678</v>
      </c>
      <c r="E214" t="s">
        <v>679</v>
      </c>
      <c r="F214" t="s">
        <v>591</v>
      </c>
      <c r="G214" t="s">
        <v>319</v>
      </c>
      <c r="H214" t="s">
        <v>320</v>
      </c>
      <c r="I214" t="s">
        <v>319</v>
      </c>
      <c r="M214" t="s">
        <v>137</v>
      </c>
      <c r="N214" t="b">
        <v>0</v>
      </c>
      <c r="Z214" s="12"/>
      <c r="AI214" s="12" t="s">
        <v>206</v>
      </c>
      <c r="AJ214" s="12" t="s">
        <v>146</v>
      </c>
      <c r="AK214" s="12" t="s">
        <v>226</v>
      </c>
      <c r="AO214" s="12">
        <v>10</v>
      </c>
      <c r="AP214" t="s">
        <v>592</v>
      </c>
      <c r="BG214" s="12"/>
      <c r="BV214" s="12" t="s">
        <v>645</v>
      </c>
      <c r="CW214" s="12" t="s">
        <v>594</v>
      </c>
      <c r="DB214" s="12">
        <v>1</v>
      </c>
      <c r="DV214">
        <f t="shared" si="155"/>
        <v>1</v>
      </c>
    </row>
    <row r="215" spans="1:126" hidden="1" x14ac:dyDescent="0.25">
      <c r="A215" t="s">
        <v>680</v>
      </c>
      <c r="B215" t="s">
        <v>447</v>
      </c>
      <c r="C215" t="s">
        <v>448</v>
      </c>
      <c r="D215" t="s">
        <v>678</v>
      </c>
      <c r="E215" t="s">
        <v>679</v>
      </c>
      <c r="F215" t="s">
        <v>596</v>
      </c>
      <c r="H215" t="s">
        <v>166</v>
      </c>
      <c r="I215" t="s">
        <v>201</v>
      </c>
      <c r="L215" t="s">
        <v>597</v>
      </c>
      <c r="M215" t="s">
        <v>137</v>
      </c>
      <c r="N215" t="b">
        <v>0</v>
      </c>
      <c r="P215" s="12" t="s">
        <v>647</v>
      </c>
      <c r="Q215" s="12" t="s">
        <v>647</v>
      </c>
      <c r="X215" s="12">
        <v>6000</v>
      </c>
      <c r="Y215" s="12">
        <v>45</v>
      </c>
      <c r="Z215" s="12">
        <v>1500</v>
      </c>
      <c r="AA215" s="12" t="s">
        <v>169</v>
      </c>
      <c r="AE215" s="12" t="s">
        <v>205</v>
      </c>
      <c r="AF215" s="12" t="s">
        <v>171</v>
      </c>
      <c r="AI215" s="12" t="s">
        <v>206</v>
      </c>
      <c r="AJ215" s="12" t="s">
        <v>146</v>
      </c>
      <c r="AK215" s="12" t="s">
        <v>226</v>
      </c>
      <c r="AL215" s="12" t="s">
        <v>209</v>
      </c>
      <c r="AM215" s="12">
        <v>42</v>
      </c>
      <c r="AN215" t="s">
        <v>175</v>
      </c>
      <c r="AO215" s="12">
        <v>3</v>
      </c>
      <c r="AP215" t="s">
        <v>176</v>
      </c>
      <c r="AQ215" s="12" t="b">
        <v>1</v>
      </c>
      <c r="AR215" s="12" t="str">
        <f>HYPERLINK("https://www.google.com/search?q=SEW","SEW")</f>
        <v>SEW</v>
      </c>
      <c r="BR215" s="12" t="s">
        <v>155</v>
      </c>
      <c r="BV215" s="12" t="s">
        <v>210</v>
      </c>
      <c r="CF215" s="12" t="s">
        <v>187</v>
      </c>
      <c r="CS215" s="12" t="s">
        <v>181</v>
      </c>
      <c r="DA215" s="12">
        <v>2</v>
      </c>
      <c r="DN215" s="12" t="b">
        <v>0</v>
      </c>
      <c r="DQ215">
        <f t="shared" ref="DQ215:DQ216" si="158">IF(T215="Ball",10,0)</f>
        <v>0</v>
      </c>
      <c r="DR215">
        <f t="shared" ref="DR215:DR216" si="159">+T215</f>
        <v>0</v>
      </c>
      <c r="DV215">
        <f t="shared" si="155"/>
        <v>0.5</v>
      </c>
    </row>
    <row r="216" spans="1:126" hidden="1" x14ac:dyDescent="0.25">
      <c r="A216" t="s">
        <v>681</v>
      </c>
      <c r="B216" t="s">
        <v>447</v>
      </c>
      <c r="C216" t="s">
        <v>448</v>
      </c>
      <c r="D216" t="s">
        <v>678</v>
      </c>
      <c r="E216" t="s">
        <v>679</v>
      </c>
      <c r="F216" t="s">
        <v>599</v>
      </c>
      <c r="H216" t="s">
        <v>166</v>
      </c>
      <c r="I216" t="s">
        <v>201</v>
      </c>
      <c r="M216" t="s">
        <v>137</v>
      </c>
      <c r="N216" t="b">
        <v>0</v>
      </c>
      <c r="P216" s="12" t="s">
        <v>647</v>
      </c>
      <c r="Q216" s="12" t="s">
        <v>647</v>
      </c>
      <c r="X216" s="12">
        <v>5000</v>
      </c>
      <c r="Y216" s="12">
        <v>2600</v>
      </c>
      <c r="Z216" s="12">
        <v>1000</v>
      </c>
      <c r="AA216" s="12" t="s">
        <v>169</v>
      </c>
      <c r="AE216" s="12" t="s">
        <v>205</v>
      </c>
      <c r="AF216" s="12" t="s">
        <v>171</v>
      </c>
      <c r="AI216" s="12" t="s">
        <v>206</v>
      </c>
      <c r="AJ216" s="12" t="s">
        <v>146</v>
      </c>
      <c r="AK216" s="12" t="s">
        <v>226</v>
      </c>
      <c r="AL216" s="12" t="s">
        <v>209</v>
      </c>
      <c r="AM216" s="12">
        <v>42</v>
      </c>
      <c r="AN216" t="s">
        <v>175</v>
      </c>
      <c r="AO216" s="12">
        <v>6</v>
      </c>
      <c r="AP216" t="s">
        <v>176</v>
      </c>
      <c r="AQ216" s="12" t="b">
        <v>1</v>
      </c>
      <c r="AR216" s="12" t="str">
        <f>HYPERLINK("https://www.google.com/search?q=SEW","SEW")</f>
        <v>SEW</v>
      </c>
      <c r="BR216" s="12" t="s">
        <v>178</v>
      </c>
      <c r="BV216" s="12" t="s">
        <v>210</v>
      </c>
      <c r="CF216" s="12" t="s">
        <v>187</v>
      </c>
      <c r="CS216" s="12" t="s">
        <v>227</v>
      </c>
      <c r="DA216" s="12">
        <v>2</v>
      </c>
      <c r="DN216" s="12" t="b">
        <v>0</v>
      </c>
      <c r="DQ216">
        <f t="shared" si="158"/>
        <v>0</v>
      </c>
      <c r="DR216">
        <f t="shared" si="159"/>
        <v>0</v>
      </c>
      <c r="DV216">
        <f t="shared" si="155"/>
        <v>0.5</v>
      </c>
    </row>
    <row r="217" spans="1:126" hidden="1" x14ac:dyDescent="0.25">
      <c r="A217" t="s">
        <v>682</v>
      </c>
      <c r="B217" t="s">
        <v>447</v>
      </c>
      <c r="C217" t="s">
        <v>448</v>
      </c>
      <c r="D217" t="s">
        <v>678</v>
      </c>
      <c r="E217" t="s">
        <v>679</v>
      </c>
      <c r="F217" t="s">
        <v>603</v>
      </c>
      <c r="G217" t="s">
        <v>140</v>
      </c>
      <c r="H217" t="s">
        <v>141</v>
      </c>
      <c r="I217" t="s">
        <v>142</v>
      </c>
      <c r="M217" t="s">
        <v>137</v>
      </c>
      <c r="N217" t="b">
        <v>0</v>
      </c>
      <c r="Y217" s="12">
        <v>45</v>
      </c>
      <c r="AE217" s="12" t="s">
        <v>144</v>
      </c>
      <c r="AI217" s="12" t="s">
        <v>145</v>
      </c>
      <c r="AJ217" s="12" t="s">
        <v>146</v>
      </c>
      <c r="AK217" s="12" t="s">
        <v>147</v>
      </c>
      <c r="AR217" s="12" t="str">
        <f>HYPERLINK("https://www.google.com/search?q=CMD Ermaster R4HC39","CMD Ermaster R4HC39")</f>
        <v>CMD Ermaster R4HC39</v>
      </c>
      <c r="AS217">
        <v>800</v>
      </c>
      <c r="AT217" t="s">
        <v>148</v>
      </c>
      <c r="AU217">
        <v>500</v>
      </c>
      <c r="AV217" t="s">
        <v>148</v>
      </c>
      <c r="AW217">
        <v>1400</v>
      </c>
      <c r="AX217" t="s">
        <v>148</v>
      </c>
      <c r="AY217" s="12">
        <v>45</v>
      </c>
      <c r="AZ217" t="s">
        <v>149</v>
      </c>
      <c r="BF217" s="12" t="s">
        <v>332</v>
      </c>
      <c r="BH217" s="12" t="s">
        <v>151</v>
      </c>
      <c r="BI217" s="12" t="s">
        <v>152</v>
      </c>
      <c r="BL217" s="12" t="s">
        <v>153</v>
      </c>
      <c r="BN217" s="12" t="s">
        <v>154</v>
      </c>
      <c r="BP217" s="12" t="s">
        <v>155</v>
      </c>
      <c r="BT217" s="12" t="s">
        <v>156</v>
      </c>
      <c r="BV217" s="12" t="s">
        <v>650</v>
      </c>
      <c r="BY217" s="12" t="s">
        <v>155</v>
      </c>
      <c r="CA217" s="12" t="s">
        <v>218</v>
      </c>
      <c r="CD217" s="12">
        <v>320</v>
      </c>
      <c r="CE217" t="s">
        <v>148</v>
      </c>
      <c r="CH217" s="12" t="s">
        <v>159</v>
      </c>
      <c r="CU217" s="12" t="s">
        <v>159</v>
      </c>
      <c r="DC217" s="12" t="b">
        <v>1</v>
      </c>
      <c r="DD217" s="12" t="s">
        <v>219</v>
      </c>
      <c r="DG217" s="12" t="s">
        <v>161</v>
      </c>
      <c r="DV217">
        <f t="shared" si="155"/>
        <v>0.5</v>
      </c>
    </row>
    <row r="218" spans="1:126" hidden="1" x14ac:dyDescent="0.25">
      <c r="A218" t="s">
        <v>683</v>
      </c>
      <c r="B218" t="s">
        <v>447</v>
      </c>
      <c r="C218" t="s">
        <v>448</v>
      </c>
      <c r="D218" t="s">
        <v>678</v>
      </c>
      <c r="E218" t="s">
        <v>679</v>
      </c>
      <c r="F218" t="s">
        <v>457</v>
      </c>
      <c r="G218" t="s">
        <v>140</v>
      </c>
      <c r="H218" t="s">
        <v>141</v>
      </c>
      <c r="I218" t="s">
        <v>142</v>
      </c>
      <c r="L218" t="s">
        <v>606</v>
      </c>
      <c r="M218" t="s">
        <v>137</v>
      </c>
      <c r="N218" t="b">
        <v>0</v>
      </c>
      <c r="Y218" s="12">
        <v>2600</v>
      </c>
      <c r="AE218" s="12" t="s">
        <v>144</v>
      </c>
      <c r="AI218" s="12" t="s">
        <v>206</v>
      </c>
      <c r="AJ218" s="12" t="s">
        <v>146</v>
      </c>
      <c r="AK218" s="12" t="s">
        <v>226</v>
      </c>
      <c r="AR218" s="12" t="str">
        <f>HYPERLINK("https://www.google.com/search?q=CMD Ermaster R2HC52","CMD Ermaster R2HC52")</f>
        <v>CMD Ermaster R2HC52</v>
      </c>
      <c r="AS218">
        <v>1200</v>
      </c>
      <c r="AT218" t="s">
        <v>148</v>
      </c>
      <c r="AU218">
        <v>800</v>
      </c>
      <c r="AV218" t="s">
        <v>148</v>
      </c>
      <c r="AW218">
        <v>1600</v>
      </c>
      <c r="AX218" t="s">
        <v>148</v>
      </c>
      <c r="AY218" s="12">
        <v>100</v>
      </c>
      <c r="AZ218" t="s">
        <v>149</v>
      </c>
      <c r="BF218" s="12" t="s">
        <v>332</v>
      </c>
      <c r="BH218" s="12" t="s">
        <v>151</v>
      </c>
      <c r="BI218" s="12" t="s">
        <v>152</v>
      </c>
      <c r="BL218" s="12" t="s">
        <v>159</v>
      </c>
      <c r="BN218" s="12" t="s">
        <v>607</v>
      </c>
      <c r="BP218" s="12" t="s">
        <v>155</v>
      </c>
      <c r="BT218" s="12" t="s">
        <v>604</v>
      </c>
      <c r="BV218" s="12" t="s">
        <v>650</v>
      </c>
      <c r="BY218" s="12" t="s">
        <v>155</v>
      </c>
      <c r="CA218" s="12" t="s">
        <v>218</v>
      </c>
      <c r="CD218" s="12">
        <v>300</v>
      </c>
      <c r="CE218" t="s">
        <v>148</v>
      </c>
      <c r="CH218" s="12" t="s">
        <v>412</v>
      </c>
      <c r="CU218" s="12"/>
      <c r="DC218" s="12" t="b">
        <v>1</v>
      </c>
      <c r="DD218" s="12" t="s">
        <v>607</v>
      </c>
      <c r="DG218" s="12"/>
      <c r="DV218">
        <f t="shared" si="155"/>
        <v>0.5</v>
      </c>
    </row>
    <row r="219" spans="1:126" hidden="1" x14ac:dyDescent="0.25">
      <c r="A219" t="s">
        <v>684</v>
      </c>
      <c r="B219" t="s">
        <v>447</v>
      </c>
      <c r="C219" t="s">
        <v>448</v>
      </c>
      <c r="D219" t="s">
        <v>678</v>
      </c>
      <c r="E219" t="s">
        <v>679</v>
      </c>
      <c r="F219" t="s">
        <v>457</v>
      </c>
      <c r="G219" t="s">
        <v>140</v>
      </c>
      <c r="H219" t="s">
        <v>354</v>
      </c>
      <c r="I219" t="s">
        <v>355</v>
      </c>
      <c r="M219" t="s">
        <v>137</v>
      </c>
      <c r="N219" t="b">
        <v>0</v>
      </c>
      <c r="AR219" s="12" t="str">
        <f>HYPERLINK("https://www.google.com/search?q=","")</f>
        <v/>
      </c>
      <c r="CC219" s="12" t="b">
        <v>1</v>
      </c>
      <c r="CI219" s="12"/>
      <c r="CJ219" s="12" t="s">
        <v>609</v>
      </c>
      <c r="CK219" s="12" t="s">
        <v>610</v>
      </c>
      <c r="CL219" s="12"/>
      <c r="CM219" s="12"/>
      <c r="CN219" t="s">
        <v>356</v>
      </c>
      <c r="CO219" s="12" t="s">
        <v>357</v>
      </c>
      <c r="DD219" s="12"/>
      <c r="DG219" s="12"/>
      <c r="DV219">
        <f t="shared" si="155"/>
        <v>0.5</v>
      </c>
    </row>
    <row r="220" spans="1:126" hidden="1" x14ac:dyDescent="0.25">
      <c r="A220" t="s">
        <v>685</v>
      </c>
      <c r="B220" t="s">
        <v>447</v>
      </c>
      <c r="C220" t="s">
        <v>448</v>
      </c>
      <c r="D220" t="s">
        <v>678</v>
      </c>
      <c r="E220" t="s">
        <v>679</v>
      </c>
      <c r="F220" t="s">
        <v>457</v>
      </c>
      <c r="G220" t="s">
        <v>140</v>
      </c>
      <c r="H220" t="s">
        <v>612</v>
      </c>
      <c r="I220" t="s">
        <v>613</v>
      </c>
      <c r="M220" t="s">
        <v>137</v>
      </c>
      <c r="N220" t="b">
        <v>0</v>
      </c>
      <c r="DV220">
        <f t="shared" si="155"/>
        <v>0.5</v>
      </c>
    </row>
    <row r="221" spans="1:126" hidden="1" x14ac:dyDescent="0.25">
      <c r="A221" t="s">
        <v>686</v>
      </c>
      <c r="B221" t="s">
        <v>447</v>
      </c>
      <c r="C221" t="s">
        <v>448</v>
      </c>
      <c r="D221" t="s">
        <v>678</v>
      </c>
      <c r="E221" t="s">
        <v>679</v>
      </c>
      <c r="F221" t="s">
        <v>435</v>
      </c>
      <c r="G221" t="s">
        <v>436</v>
      </c>
      <c r="H221" t="s">
        <v>437</v>
      </c>
      <c r="I221" t="s">
        <v>438</v>
      </c>
      <c r="L221" t="s">
        <v>655</v>
      </c>
      <c r="M221" t="s">
        <v>137</v>
      </c>
      <c r="N221" t="b">
        <v>0</v>
      </c>
      <c r="AM221" s="12">
        <v>180000</v>
      </c>
      <c r="AN221" t="s">
        <v>175</v>
      </c>
      <c r="AO221" s="12"/>
      <c r="AP221" t="s">
        <v>186</v>
      </c>
      <c r="AR221" s="12" t="str">
        <f>HYPERLINK("https://www.google.com/search?q=","")</f>
        <v/>
      </c>
      <c r="BA221" s="12">
        <v>180000</v>
      </c>
      <c r="BB221" t="s">
        <v>175</v>
      </c>
      <c r="BR221" s="12" t="s">
        <v>155</v>
      </c>
      <c r="BV221" s="12" t="s">
        <v>645</v>
      </c>
      <c r="CS221" s="12"/>
      <c r="CT221" s="12" t="s">
        <v>656</v>
      </c>
      <c r="DA221" s="12"/>
      <c r="DB221" s="12">
        <v>1</v>
      </c>
      <c r="DV221">
        <f t="shared" si="155"/>
        <v>0.5</v>
      </c>
    </row>
    <row r="222" spans="1:126" hidden="1" x14ac:dyDescent="0.25">
      <c r="A222" t="s">
        <v>687</v>
      </c>
      <c r="B222" t="s">
        <v>447</v>
      </c>
      <c r="C222" t="s">
        <v>448</v>
      </c>
      <c r="D222" t="s">
        <v>678</v>
      </c>
      <c r="E222" t="s">
        <v>679</v>
      </c>
      <c r="F222" t="s">
        <v>658</v>
      </c>
      <c r="G222" t="s">
        <v>618</v>
      </c>
      <c r="H222" t="s">
        <v>354</v>
      </c>
      <c r="I222" t="s">
        <v>355</v>
      </c>
      <c r="M222" t="s">
        <v>137</v>
      </c>
      <c r="N222" t="b">
        <v>0</v>
      </c>
      <c r="AR222" s="12" t="str">
        <f>HYPERLINK("https://www.google.com/search?q=","")</f>
        <v/>
      </c>
      <c r="CC222" s="12" t="b">
        <v>1</v>
      </c>
      <c r="CI222" s="12"/>
      <c r="CJ222" s="12" t="s">
        <v>609</v>
      </c>
      <c r="CK222" s="12"/>
      <c r="CL222" s="12"/>
      <c r="CM222" s="12"/>
      <c r="CN222" t="s">
        <v>356</v>
      </c>
      <c r="CO222" s="12" t="s">
        <v>357</v>
      </c>
      <c r="DD222" s="12"/>
      <c r="DG222" s="12"/>
      <c r="DV222">
        <f t="shared" si="155"/>
        <v>0.5</v>
      </c>
    </row>
    <row r="223" spans="1:126" hidden="1" x14ac:dyDescent="0.25">
      <c r="A223" t="s">
        <v>688</v>
      </c>
      <c r="B223" t="s">
        <v>447</v>
      </c>
      <c r="C223" t="s">
        <v>448</v>
      </c>
      <c r="D223" t="s">
        <v>678</v>
      </c>
      <c r="E223" t="s">
        <v>679</v>
      </c>
      <c r="F223" t="s">
        <v>658</v>
      </c>
      <c r="G223" t="s">
        <v>618</v>
      </c>
      <c r="H223" t="s">
        <v>622</v>
      </c>
      <c r="I223" t="s">
        <v>623</v>
      </c>
      <c r="L223" t="s">
        <v>660</v>
      </c>
      <c r="M223" t="s">
        <v>137</v>
      </c>
      <c r="N223" t="b">
        <v>0</v>
      </c>
      <c r="AE223" s="12" t="s">
        <v>205</v>
      </c>
      <c r="AI223" s="12" t="s">
        <v>206</v>
      </c>
      <c r="AJ223" s="12" t="s">
        <v>146</v>
      </c>
      <c r="AK223" s="12" t="s">
        <v>226</v>
      </c>
      <c r="BN223" s="12" t="s">
        <v>154</v>
      </c>
      <c r="CA223" s="12" t="s">
        <v>158</v>
      </c>
      <c r="DD223" t="s">
        <v>661</v>
      </c>
      <c r="DV223">
        <f t="shared" si="155"/>
        <v>0.5</v>
      </c>
    </row>
    <row r="224" spans="1:126" hidden="1" x14ac:dyDescent="0.25">
      <c r="A224" t="s">
        <v>689</v>
      </c>
      <c r="B224" t="s">
        <v>447</v>
      </c>
      <c r="C224" t="s">
        <v>448</v>
      </c>
      <c r="D224" t="s">
        <v>678</v>
      </c>
      <c r="E224" t="s">
        <v>679</v>
      </c>
      <c r="F224" t="s">
        <v>658</v>
      </c>
      <c r="G224" t="s">
        <v>618</v>
      </c>
      <c r="H224" t="s">
        <v>359</v>
      </c>
      <c r="I224" t="s">
        <v>663</v>
      </c>
      <c r="M224" t="s">
        <v>137</v>
      </c>
      <c r="N224" t="b">
        <v>0</v>
      </c>
      <c r="AI224" s="12" t="s">
        <v>206</v>
      </c>
      <c r="AJ224" s="12" t="s">
        <v>146</v>
      </c>
      <c r="AK224" s="12" t="s">
        <v>226</v>
      </c>
      <c r="AS224">
        <v>900</v>
      </c>
      <c r="AT224" t="s">
        <v>148</v>
      </c>
      <c r="AU224">
        <v>1200</v>
      </c>
      <c r="AV224" t="s">
        <v>148</v>
      </c>
      <c r="AY224" s="12">
        <v>650</v>
      </c>
      <c r="AZ224" t="s">
        <v>149</v>
      </c>
      <c r="BL224" s="12" t="s">
        <v>159</v>
      </c>
      <c r="BN224" s="12" t="s">
        <v>607</v>
      </c>
      <c r="BP224" s="12" t="s">
        <v>155</v>
      </c>
      <c r="BT224" s="12" t="s">
        <v>604</v>
      </c>
      <c r="BV224" s="12" t="s">
        <v>664</v>
      </c>
      <c r="BY224" s="12" t="s">
        <v>155</v>
      </c>
      <c r="CA224" s="12" t="s">
        <v>218</v>
      </c>
      <c r="CD224" s="12">
        <v>760</v>
      </c>
      <c r="CE224" t="s">
        <v>148</v>
      </c>
      <c r="CH224" s="12" t="s">
        <v>665</v>
      </c>
      <c r="CU224" s="12" t="s">
        <v>578</v>
      </c>
      <c r="DC224" s="12" t="b">
        <v>0</v>
      </c>
      <c r="DD224" s="12" t="s">
        <v>666</v>
      </c>
      <c r="DG224" s="12"/>
      <c r="DP224" s="12"/>
      <c r="DV224">
        <f t="shared" si="155"/>
        <v>0.5</v>
      </c>
    </row>
    <row r="225" spans="1:126" hidden="1" x14ac:dyDescent="0.25">
      <c r="A225" t="s">
        <v>690</v>
      </c>
      <c r="B225" t="s">
        <v>447</v>
      </c>
      <c r="C225" t="s">
        <v>448</v>
      </c>
      <c r="D225" t="s">
        <v>678</v>
      </c>
      <c r="E225" t="s">
        <v>679</v>
      </c>
      <c r="F225" t="s">
        <v>658</v>
      </c>
      <c r="G225" t="s">
        <v>618</v>
      </c>
      <c r="H225" t="s">
        <v>612</v>
      </c>
      <c r="I225" t="s">
        <v>613</v>
      </c>
      <c r="L225" t="s">
        <v>668</v>
      </c>
      <c r="M225" t="s">
        <v>137</v>
      </c>
      <c r="N225" t="b">
        <v>0</v>
      </c>
      <c r="CA225" s="12" t="s">
        <v>218</v>
      </c>
      <c r="DV225">
        <f t="shared" si="155"/>
        <v>0.5</v>
      </c>
    </row>
    <row r="226" spans="1:126" hidden="1" x14ac:dyDescent="0.25">
      <c r="A226" t="s">
        <v>691</v>
      </c>
      <c r="B226" t="s">
        <v>447</v>
      </c>
      <c r="C226" t="s">
        <v>448</v>
      </c>
      <c r="D226" t="s">
        <v>678</v>
      </c>
      <c r="E226" t="s">
        <v>679</v>
      </c>
      <c r="F226" t="s">
        <v>670</v>
      </c>
      <c r="G226" t="s">
        <v>618</v>
      </c>
      <c r="H226" t="s">
        <v>354</v>
      </c>
      <c r="I226" t="s">
        <v>355</v>
      </c>
      <c r="M226" t="s">
        <v>137</v>
      </c>
      <c r="N226" t="b">
        <v>0</v>
      </c>
      <c r="AR226" s="12" t="str">
        <f>HYPERLINK("https://www.google.com/search?q=","")</f>
        <v/>
      </c>
      <c r="CC226" s="12" t="b">
        <v>1</v>
      </c>
      <c r="CI226" s="12"/>
      <c r="CJ226" s="12" t="s">
        <v>609</v>
      </c>
      <c r="CK226" s="12"/>
      <c r="CL226" s="12"/>
      <c r="CM226" s="12"/>
      <c r="CN226" t="s">
        <v>356</v>
      </c>
      <c r="CO226" s="12" t="s">
        <v>357</v>
      </c>
      <c r="DD226" s="12"/>
      <c r="DG226" s="12"/>
      <c r="DV226">
        <f t="shared" si="155"/>
        <v>0.5</v>
      </c>
    </row>
    <row r="227" spans="1:126" hidden="1" x14ac:dyDescent="0.25">
      <c r="A227" t="s">
        <v>692</v>
      </c>
      <c r="B227" t="s">
        <v>447</v>
      </c>
      <c r="C227" t="s">
        <v>448</v>
      </c>
      <c r="D227" t="s">
        <v>678</v>
      </c>
      <c r="E227" t="s">
        <v>679</v>
      </c>
      <c r="F227" t="s">
        <v>670</v>
      </c>
      <c r="G227" t="s">
        <v>618</v>
      </c>
      <c r="H227" t="s">
        <v>693</v>
      </c>
      <c r="I227" t="s">
        <v>623</v>
      </c>
      <c r="L227" t="s">
        <v>660</v>
      </c>
      <c r="M227" t="s">
        <v>137</v>
      </c>
      <c r="N227" t="b">
        <v>0</v>
      </c>
      <c r="AE227" s="12" t="s">
        <v>205</v>
      </c>
      <c r="AI227" s="12" t="s">
        <v>206</v>
      </c>
      <c r="AJ227" s="12" t="s">
        <v>146</v>
      </c>
      <c r="AK227" s="12" t="s">
        <v>226</v>
      </c>
      <c r="BN227" s="12" t="s">
        <v>154</v>
      </c>
      <c r="CA227" s="12" t="s">
        <v>158</v>
      </c>
      <c r="DD227" t="s">
        <v>661</v>
      </c>
      <c r="DV227">
        <f t="shared" si="155"/>
        <v>0.5</v>
      </c>
    </row>
    <row r="228" spans="1:126" hidden="1" x14ac:dyDescent="0.25">
      <c r="A228" t="s">
        <v>694</v>
      </c>
      <c r="B228" t="s">
        <v>447</v>
      </c>
      <c r="C228" t="s">
        <v>448</v>
      </c>
      <c r="D228" t="s">
        <v>678</v>
      </c>
      <c r="E228" t="s">
        <v>679</v>
      </c>
      <c r="F228" t="s">
        <v>670</v>
      </c>
      <c r="G228" t="s">
        <v>618</v>
      </c>
      <c r="H228" t="s">
        <v>637</v>
      </c>
      <c r="I228" t="s">
        <v>623</v>
      </c>
      <c r="L228" t="s">
        <v>660</v>
      </c>
      <c r="M228" t="s">
        <v>137</v>
      </c>
      <c r="N228" t="b">
        <v>0</v>
      </c>
      <c r="AE228" s="12" t="s">
        <v>205</v>
      </c>
      <c r="AI228" s="12" t="s">
        <v>206</v>
      </c>
      <c r="AJ228" s="12" t="s">
        <v>146</v>
      </c>
      <c r="AK228" s="12" t="s">
        <v>226</v>
      </c>
      <c r="BN228" s="12" t="s">
        <v>155</v>
      </c>
      <c r="CA228" s="12" t="s">
        <v>158</v>
      </c>
      <c r="DV228">
        <f t="shared" si="155"/>
        <v>0.5</v>
      </c>
    </row>
    <row r="229" spans="1:126" hidden="1" x14ac:dyDescent="0.25">
      <c r="A229" t="s">
        <v>695</v>
      </c>
      <c r="B229" t="s">
        <v>447</v>
      </c>
      <c r="C229" t="s">
        <v>448</v>
      </c>
      <c r="D229" t="s">
        <v>678</v>
      </c>
      <c r="E229" t="s">
        <v>679</v>
      </c>
      <c r="F229" t="s">
        <v>670</v>
      </c>
      <c r="G229" t="s">
        <v>618</v>
      </c>
      <c r="H229" t="s">
        <v>641</v>
      </c>
      <c r="I229" t="s">
        <v>623</v>
      </c>
      <c r="L229" t="s">
        <v>660</v>
      </c>
      <c r="M229" t="s">
        <v>137</v>
      </c>
      <c r="N229" t="b">
        <v>0</v>
      </c>
      <c r="AE229" s="12" t="s">
        <v>205</v>
      </c>
      <c r="AI229" s="12" t="s">
        <v>206</v>
      </c>
      <c r="AJ229" s="12" t="s">
        <v>146</v>
      </c>
      <c r="AK229" s="12" t="s">
        <v>226</v>
      </c>
      <c r="BN229" s="12" t="s">
        <v>155</v>
      </c>
      <c r="CA229" s="12" t="s">
        <v>158</v>
      </c>
      <c r="DV229">
        <f t="shared" si="155"/>
        <v>0.5</v>
      </c>
    </row>
    <row r="230" spans="1:126" hidden="1" x14ac:dyDescent="0.25">
      <c r="A230" t="s">
        <v>696</v>
      </c>
      <c r="B230" t="s">
        <v>447</v>
      </c>
      <c r="C230" t="s">
        <v>448</v>
      </c>
      <c r="D230" t="s">
        <v>678</v>
      </c>
      <c r="E230" t="s">
        <v>679</v>
      </c>
      <c r="F230" t="s">
        <v>670</v>
      </c>
      <c r="G230" t="s">
        <v>618</v>
      </c>
      <c r="H230" t="s">
        <v>359</v>
      </c>
      <c r="I230" t="s">
        <v>663</v>
      </c>
      <c r="M230" t="s">
        <v>137</v>
      </c>
      <c r="N230" t="b">
        <v>0</v>
      </c>
      <c r="AI230" s="12" t="s">
        <v>206</v>
      </c>
      <c r="AJ230" s="12" t="s">
        <v>146</v>
      </c>
      <c r="AK230" s="12" t="s">
        <v>226</v>
      </c>
      <c r="AS230">
        <v>900</v>
      </c>
      <c r="AT230" t="s">
        <v>148</v>
      </c>
      <c r="AU230">
        <v>1200</v>
      </c>
      <c r="AV230" t="s">
        <v>148</v>
      </c>
      <c r="AY230" s="12">
        <v>650</v>
      </c>
      <c r="AZ230" t="s">
        <v>149</v>
      </c>
      <c r="BL230" s="12" t="s">
        <v>159</v>
      </c>
      <c r="BN230" s="12" t="s">
        <v>607</v>
      </c>
      <c r="BP230" s="12" t="s">
        <v>155</v>
      </c>
      <c r="BT230" s="12" t="s">
        <v>604</v>
      </c>
      <c r="BV230" s="12" t="s">
        <v>664</v>
      </c>
      <c r="BY230" s="12" t="s">
        <v>155</v>
      </c>
      <c r="CA230" s="12" t="s">
        <v>218</v>
      </c>
      <c r="CD230" s="12">
        <v>760</v>
      </c>
      <c r="CE230" t="s">
        <v>148</v>
      </c>
      <c r="CH230" s="12" t="s">
        <v>665</v>
      </c>
      <c r="CU230" s="12" t="s">
        <v>578</v>
      </c>
      <c r="DC230" s="12" t="b">
        <v>0</v>
      </c>
      <c r="DD230" s="12" t="s">
        <v>666</v>
      </c>
      <c r="DG230" s="12"/>
      <c r="DP230" s="12"/>
      <c r="DV230">
        <f t="shared" si="155"/>
        <v>0.5</v>
      </c>
    </row>
    <row r="231" spans="1:126" ht="330" hidden="1" x14ac:dyDescent="0.25">
      <c r="A231" t="s">
        <v>697</v>
      </c>
      <c r="B231" t="s">
        <v>447</v>
      </c>
      <c r="C231" t="s">
        <v>448</v>
      </c>
      <c r="D231" t="s">
        <v>678</v>
      </c>
      <c r="E231" t="s">
        <v>679</v>
      </c>
      <c r="F231" t="s">
        <v>670</v>
      </c>
      <c r="G231" t="s">
        <v>618</v>
      </c>
      <c r="H231" t="s">
        <v>612</v>
      </c>
      <c r="I231" t="s">
        <v>613</v>
      </c>
      <c r="L231" s="11" t="s">
        <v>676</v>
      </c>
      <c r="M231" t="s">
        <v>137</v>
      </c>
      <c r="N231" t="b">
        <v>0</v>
      </c>
      <c r="CA231" s="12"/>
      <c r="DV231">
        <f t="shared" si="155"/>
        <v>1</v>
      </c>
    </row>
    <row r="232" spans="1:126" hidden="1" x14ac:dyDescent="0.25">
      <c r="A232" t="s">
        <v>698</v>
      </c>
      <c r="B232" t="s">
        <v>699</v>
      </c>
      <c r="C232" t="s">
        <v>700</v>
      </c>
      <c r="D232" t="s">
        <v>701</v>
      </c>
      <c r="E232" t="s">
        <v>702</v>
      </c>
      <c r="F232" t="s">
        <v>703</v>
      </c>
      <c r="G232" t="s">
        <v>140</v>
      </c>
      <c r="H232" t="s">
        <v>139</v>
      </c>
      <c r="I232" t="s">
        <v>142</v>
      </c>
      <c r="L232" t="s">
        <v>704</v>
      </c>
      <c r="M232" t="s">
        <v>137</v>
      </c>
      <c r="N232" t="b">
        <v>0</v>
      </c>
      <c r="Y232" s="12">
        <v>45</v>
      </c>
      <c r="AE232" s="12" t="s">
        <v>144</v>
      </c>
      <c r="AI232" s="12" t="s">
        <v>206</v>
      </c>
      <c r="AJ232" s="12" t="s">
        <v>207</v>
      </c>
      <c r="AK232" s="12" t="s">
        <v>208</v>
      </c>
      <c r="AR232" s="12" t="str">
        <f>HYPERLINK("https://www.google.com/search?q=Lightnin 710060 30 rpm","Lightnin 710060 30 rpm")</f>
        <v>Lightnin 710060 30 rpm</v>
      </c>
      <c r="AS232">
        <v>550</v>
      </c>
      <c r="AT232" t="s">
        <v>148</v>
      </c>
      <c r="AU232">
        <v>850</v>
      </c>
      <c r="AV232" t="s">
        <v>148</v>
      </c>
      <c r="AW232">
        <v>1350</v>
      </c>
      <c r="AX232" t="s">
        <v>148</v>
      </c>
      <c r="AY232" s="12">
        <v>150</v>
      </c>
      <c r="AZ232" t="s">
        <v>149</v>
      </c>
      <c r="BF232" s="12" t="s">
        <v>150</v>
      </c>
      <c r="BH232" s="12" t="s">
        <v>151</v>
      </c>
      <c r="BI232" s="12" t="s">
        <v>152</v>
      </c>
      <c r="BL232" s="12" t="s">
        <v>159</v>
      </c>
      <c r="BN232" s="12" t="s">
        <v>154</v>
      </c>
      <c r="BP232" s="12" t="s">
        <v>155</v>
      </c>
      <c r="BT232" s="12" t="s">
        <v>156</v>
      </c>
      <c r="BV232" s="12" t="s">
        <v>157</v>
      </c>
      <c r="BY232" s="12" t="s">
        <v>155</v>
      </c>
      <c r="CA232" s="12" t="s">
        <v>218</v>
      </c>
      <c r="CD232" s="12">
        <v>200</v>
      </c>
      <c r="CE232" t="s">
        <v>148</v>
      </c>
      <c r="CH232" s="12" t="s">
        <v>665</v>
      </c>
      <c r="CU232" s="12" t="s">
        <v>578</v>
      </c>
      <c r="DC232" s="12" t="b">
        <v>1</v>
      </c>
      <c r="DD232" s="12" t="s">
        <v>219</v>
      </c>
      <c r="DG232" s="12" t="s">
        <v>334</v>
      </c>
      <c r="DK232" t="s">
        <v>705</v>
      </c>
      <c r="DL232" t="s">
        <v>162</v>
      </c>
      <c r="DV232">
        <f t="shared" si="155"/>
        <v>0.5</v>
      </c>
    </row>
    <row r="233" spans="1:126" hidden="1" x14ac:dyDescent="0.25">
      <c r="A233" t="s">
        <v>706</v>
      </c>
      <c r="B233" t="s">
        <v>699</v>
      </c>
      <c r="C233" t="s">
        <v>700</v>
      </c>
      <c r="D233" t="s">
        <v>701</v>
      </c>
      <c r="E233" t="s">
        <v>702</v>
      </c>
      <c r="F233" t="s">
        <v>703</v>
      </c>
      <c r="G233" t="s">
        <v>140</v>
      </c>
      <c r="H233" t="s">
        <v>202</v>
      </c>
      <c r="I233" t="s">
        <v>165</v>
      </c>
      <c r="L233" t="s">
        <v>707</v>
      </c>
      <c r="M233" t="s">
        <v>137</v>
      </c>
      <c r="N233" t="b">
        <v>0</v>
      </c>
      <c r="P233" s="12"/>
      <c r="Q233" s="12"/>
      <c r="R233" s="12"/>
      <c r="S233" t="s">
        <v>225</v>
      </c>
      <c r="T233" s="12" t="s">
        <v>708</v>
      </c>
      <c r="U233" s="12"/>
      <c r="V233" t="s">
        <v>225</v>
      </c>
      <c r="Z233" s="12">
        <v>1500</v>
      </c>
      <c r="AA233" s="12" t="s">
        <v>169</v>
      </c>
      <c r="AB233" s="12">
        <v>130</v>
      </c>
      <c r="AC233" t="s">
        <v>148</v>
      </c>
      <c r="AD233" s="12"/>
      <c r="AE233" s="12" t="s">
        <v>144</v>
      </c>
      <c r="AF233" s="12" t="s">
        <v>171</v>
      </c>
      <c r="AG233" s="13" t="s">
        <v>172</v>
      </c>
      <c r="AH233" s="12" t="s">
        <v>173</v>
      </c>
      <c r="AI233" s="12" t="s">
        <v>206</v>
      </c>
      <c r="AJ233" s="12" t="s">
        <v>207</v>
      </c>
      <c r="AK233" s="12" t="s">
        <v>208</v>
      </c>
      <c r="AL233" s="12" t="s">
        <v>209</v>
      </c>
      <c r="AM233" s="12">
        <f>5*29</f>
        <v>145</v>
      </c>
      <c r="AN233" s="12" t="s">
        <v>175</v>
      </c>
      <c r="AO233" s="12">
        <v>3</v>
      </c>
      <c r="AP233" t="s">
        <v>176</v>
      </c>
      <c r="AQ233" s="12" t="b">
        <v>0</v>
      </c>
      <c r="BR233" s="12" t="s">
        <v>155</v>
      </c>
      <c r="BV233" s="12" t="s">
        <v>210</v>
      </c>
      <c r="CF233" s="12" t="s">
        <v>426</v>
      </c>
      <c r="CS233" s="12" t="s">
        <v>227</v>
      </c>
      <c r="DA233" s="12">
        <v>1</v>
      </c>
      <c r="DN233" s="12" t="b">
        <v>0</v>
      </c>
      <c r="DV233">
        <f t="shared" si="155"/>
        <v>0.5</v>
      </c>
    </row>
    <row r="234" spans="1:126" hidden="1" x14ac:dyDescent="0.25">
      <c r="A234" t="s">
        <v>709</v>
      </c>
      <c r="B234" t="s">
        <v>699</v>
      </c>
      <c r="C234" t="s">
        <v>700</v>
      </c>
      <c r="D234" t="s">
        <v>701</v>
      </c>
      <c r="E234" t="s">
        <v>702</v>
      </c>
      <c r="F234" t="s">
        <v>703</v>
      </c>
      <c r="G234" t="s">
        <v>140</v>
      </c>
      <c r="H234" t="s">
        <v>212</v>
      </c>
      <c r="I234" t="s">
        <v>165</v>
      </c>
      <c r="L234" t="s">
        <v>710</v>
      </c>
      <c r="M234" t="s">
        <v>137</v>
      </c>
      <c r="N234" t="b">
        <v>0</v>
      </c>
      <c r="P234" s="12"/>
      <c r="Q234" s="12"/>
      <c r="R234" s="12"/>
      <c r="S234" t="s">
        <v>225</v>
      </c>
      <c r="T234" s="12" t="s">
        <v>708</v>
      </c>
      <c r="U234" s="12"/>
      <c r="V234" t="s">
        <v>225</v>
      </c>
      <c r="Z234" s="12"/>
      <c r="AA234" s="12" t="s">
        <v>485</v>
      </c>
      <c r="AB234" s="12">
        <v>130</v>
      </c>
      <c r="AC234" t="s">
        <v>148</v>
      </c>
      <c r="AD234" s="12"/>
      <c r="AE234" s="12" t="s">
        <v>144</v>
      </c>
      <c r="AF234" s="12" t="s">
        <v>171</v>
      </c>
      <c r="AG234" s="13" t="s">
        <v>172</v>
      </c>
      <c r="AH234" s="12" t="s">
        <v>173</v>
      </c>
      <c r="AI234" s="12" t="s">
        <v>206</v>
      </c>
      <c r="AJ234" s="12" t="s">
        <v>207</v>
      </c>
      <c r="AK234" s="12" t="s">
        <v>208</v>
      </c>
      <c r="AL234" s="12" t="s">
        <v>209</v>
      </c>
      <c r="AM234" s="12">
        <f>5*29</f>
        <v>145</v>
      </c>
      <c r="AN234" s="12" t="s">
        <v>175</v>
      </c>
      <c r="AO234" s="12">
        <v>3</v>
      </c>
      <c r="AP234" t="s">
        <v>176</v>
      </c>
      <c r="AQ234" s="12" t="b">
        <v>0</v>
      </c>
      <c r="BR234" s="12" t="s">
        <v>178</v>
      </c>
      <c r="BV234" s="12" t="s">
        <v>210</v>
      </c>
      <c r="CF234" s="12" t="s">
        <v>187</v>
      </c>
      <c r="CS234" s="12" t="s">
        <v>227</v>
      </c>
      <c r="DA234" s="12">
        <v>1</v>
      </c>
      <c r="DN234" s="12" t="b">
        <v>0</v>
      </c>
      <c r="DV234">
        <f t="shared" si="155"/>
        <v>0.5</v>
      </c>
    </row>
    <row r="235" spans="1:126" hidden="1" x14ac:dyDescent="0.25">
      <c r="A235" t="s">
        <v>711</v>
      </c>
      <c r="B235" t="s">
        <v>699</v>
      </c>
      <c r="C235" t="s">
        <v>700</v>
      </c>
      <c r="D235" t="s">
        <v>701</v>
      </c>
      <c r="E235" t="s">
        <v>702</v>
      </c>
      <c r="F235" t="s">
        <v>134</v>
      </c>
      <c r="G235" t="s">
        <v>201</v>
      </c>
      <c r="H235" t="s">
        <v>136</v>
      </c>
      <c r="I235" t="s">
        <v>135</v>
      </c>
      <c r="M235" t="s">
        <v>137</v>
      </c>
      <c r="N235" t="b">
        <v>0</v>
      </c>
      <c r="DB235" s="12"/>
      <c r="DV235">
        <f t="shared" si="155"/>
        <v>1</v>
      </c>
    </row>
    <row r="236" spans="1:126" hidden="1" x14ac:dyDescent="0.25">
      <c r="A236" t="s">
        <v>712</v>
      </c>
      <c r="B236" t="s">
        <v>699</v>
      </c>
      <c r="C236" t="s">
        <v>700</v>
      </c>
      <c r="D236" t="s">
        <v>713</v>
      </c>
      <c r="E236" t="s">
        <v>714</v>
      </c>
      <c r="F236" t="s">
        <v>703</v>
      </c>
      <c r="G236" t="s">
        <v>140</v>
      </c>
      <c r="H236" t="s">
        <v>139</v>
      </c>
      <c r="I236" t="s">
        <v>142</v>
      </c>
      <c r="M236" t="s">
        <v>137</v>
      </c>
      <c r="N236" t="b">
        <v>0</v>
      </c>
      <c r="Y236" s="12">
        <v>45</v>
      </c>
      <c r="AE236" s="12" t="s">
        <v>144</v>
      </c>
      <c r="AI236" s="12" t="s">
        <v>206</v>
      </c>
      <c r="AJ236" s="12" t="s">
        <v>207</v>
      </c>
      <c r="AK236" s="12" t="s">
        <v>208</v>
      </c>
      <c r="AR236" s="12" t="str">
        <f>HYPERLINK("https://www.google.com/search?q=Lightnin 710060 30 rpm","Lightnin 710060 30 rpm")</f>
        <v>Lightnin 710060 30 rpm</v>
      </c>
      <c r="AS236">
        <v>550</v>
      </c>
      <c r="AT236" t="s">
        <v>148</v>
      </c>
      <c r="AU236">
        <v>850</v>
      </c>
      <c r="AV236" t="s">
        <v>148</v>
      </c>
      <c r="AW236">
        <v>1350</v>
      </c>
      <c r="AX236" t="s">
        <v>148</v>
      </c>
      <c r="AY236" s="12">
        <v>150</v>
      </c>
      <c r="AZ236" t="s">
        <v>149</v>
      </c>
      <c r="BF236" s="12" t="s">
        <v>150</v>
      </c>
      <c r="BH236" s="12" t="s">
        <v>151</v>
      </c>
      <c r="BI236" s="12" t="s">
        <v>152</v>
      </c>
      <c r="BL236" s="12" t="s">
        <v>159</v>
      </c>
      <c r="BN236" s="12" t="s">
        <v>154</v>
      </c>
      <c r="BP236" s="12" t="s">
        <v>155</v>
      </c>
      <c r="BT236" s="12" t="s">
        <v>156</v>
      </c>
      <c r="BV236" s="12" t="s">
        <v>157</v>
      </c>
      <c r="BY236" s="12" t="s">
        <v>155</v>
      </c>
      <c r="CA236" s="12" t="s">
        <v>218</v>
      </c>
      <c r="CD236" s="12">
        <v>200</v>
      </c>
      <c r="CE236" t="s">
        <v>148</v>
      </c>
      <c r="CH236" s="12" t="s">
        <v>665</v>
      </c>
      <c r="CU236" s="12" t="s">
        <v>578</v>
      </c>
      <c r="DC236" s="12" t="b">
        <v>1</v>
      </c>
      <c r="DD236" s="12" t="s">
        <v>219</v>
      </c>
      <c r="DG236" s="12" t="s">
        <v>334</v>
      </c>
      <c r="DK236" t="s">
        <v>705</v>
      </c>
      <c r="DL236" t="s">
        <v>162</v>
      </c>
      <c r="DV236">
        <f t="shared" si="155"/>
        <v>0.5</v>
      </c>
    </row>
    <row r="237" spans="1:126" hidden="1" x14ac:dyDescent="0.25">
      <c r="A237" t="s">
        <v>715</v>
      </c>
      <c r="B237" t="s">
        <v>699</v>
      </c>
      <c r="C237" t="s">
        <v>700</v>
      </c>
      <c r="D237" t="s">
        <v>713</v>
      </c>
      <c r="E237" t="s">
        <v>714</v>
      </c>
      <c r="F237" t="s">
        <v>703</v>
      </c>
      <c r="G237" t="s">
        <v>140</v>
      </c>
      <c r="H237" t="s">
        <v>202</v>
      </c>
      <c r="I237" t="s">
        <v>165</v>
      </c>
      <c r="L237" t="s">
        <v>716</v>
      </c>
      <c r="M237" t="s">
        <v>137</v>
      </c>
      <c r="N237" t="b">
        <v>0</v>
      </c>
      <c r="P237" s="12"/>
      <c r="Q237" s="12"/>
      <c r="R237" s="12"/>
      <c r="S237" t="s">
        <v>225</v>
      </c>
      <c r="T237" s="12" t="s">
        <v>708</v>
      </c>
      <c r="U237" s="12"/>
      <c r="V237" t="s">
        <v>225</v>
      </c>
      <c r="Z237" s="12">
        <v>1500</v>
      </c>
      <c r="AA237" s="12" t="s">
        <v>169</v>
      </c>
      <c r="AB237" s="12">
        <v>130</v>
      </c>
      <c r="AC237" t="s">
        <v>148</v>
      </c>
      <c r="AD237" s="12"/>
      <c r="AE237" s="12" t="s">
        <v>144</v>
      </c>
      <c r="AF237" s="12" t="s">
        <v>171</v>
      </c>
      <c r="AG237" s="13" t="s">
        <v>172</v>
      </c>
      <c r="AH237" s="12" t="s">
        <v>173</v>
      </c>
      <c r="AI237" s="12" t="s">
        <v>206</v>
      </c>
      <c r="AJ237" s="12" t="s">
        <v>207</v>
      </c>
      <c r="AK237" s="12" t="s">
        <v>208</v>
      </c>
      <c r="AL237" s="12" t="s">
        <v>209</v>
      </c>
      <c r="AM237" s="12">
        <f>5*29</f>
        <v>145</v>
      </c>
      <c r="AN237" s="12" t="s">
        <v>175</v>
      </c>
      <c r="AO237" s="12">
        <v>3</v>
      </c>
      <c r="AP237" t="s">
        <v>176</v>
      </c>
      <c r="AQ237" s="12" t="b">
        <v>0</v>
      </c>
      <c r="BR237" s="12" t="s">
        <v>178</v>
      </c>
      <c r="BV237" s="12" t="s">
        <v>210</v>
      </c>
      <c r="CF237" s="12" t="s">
        <v>187</v>
      </c>
      <c r="CS237" s="12" t="s">
        <v>227</v>
      </c>
      <c r="DA237" s="12">
        <v>1</v>
      </c>
      <c r="DN237" s="12" t="b">
        <v>0</v>
      </c>
      <c r="DV237">
        <f t="shared" si="155"/>
        <v>0.5</v>
      </c>
    </row>
    <row r="238" spans="1:126" hidden="1" x14ac:dyDescent="0.25">
      <c r="A238" t="s">
        <v>717</v>
      </c>
      <c r="B238" t="s">
        <v>699</v>
      </c>
      <c r="C238" t="s">
        <v>700</v>
      </c>
      <c r="D238" t="s">
        <v>713</v>
      </c>
      <c r="E238" t="s">
        <v>714</v>
      </c>
      <c r="F238" t="s">
        <v>703</v>
      </c>
      <c r="G238" t="s">
        <v>140</v>
      </c>
      <c r="H238" t="s">
        <v>212</v>
      </c>
      <c r="I238" t="s">
        <v>165</v>
      </c>
      <c r="L238" t="s">
        <v>710</v>
      </c>
      <c r="M238" t="s">
        <v>137</v>
      </c>
      <c r="N238" t="b">
        <v>0</v>
      </c>
      <c r="P238" s="12"/>
      <c r="Q238" s="12"/>
      <c r="R238" s="12"/>
      <c r="S238" t="s">
        <v>225</v>
      </c>
      <c r="T238" s="12" t="s">
        <v>708</v>
      </c>
      <c r="U238" s="12"/>
      <c r="V238" t="s">
        <v>225</v>
      </c>
      <c r="Z238" s="12"/>
      <c r="AA238" s="12" t="s">
        <v>485</v>
      </c>
      <c r="AB238" s="12">
        <v>130</v>
      </c>
      <c r="AC238" t="s">
        <v>148</v>
      </c>
      <c r="AD238" s="12"/>
      <c r="AE238" s="12" t="s">
        <v>144</v>
      </c>
      <c r="AF238" s="12" t="s">
        <v>171</v>
      </c>
      <c r="AG238" s="13" t="s">
        <v>172</v>
      </c>
      <c r="AH238" s="12" t="s">
        <v>173</v>
      </c>
      <c r="AI238" s="12" t="s">
        <v>206</v>
      </c>
      <c r="AJ238" s="12" t="s">
        <v>207</v>
      </c>
      <c r="AK238" s="12" t="s">
        <v>208</v>
      </c>
      <c r="AL238" s="12" t="s">
        <v>209</v>
      </c>
      <c r="AM238" s="12">
        <f>5*29</f>
        <v>145</v>
      </c>
      <c r="AN238" s="12" t="s">
        <v>175</v>
      </c>
      <c r="AO238" s="12">
        <v>3</v>
      </c>
      <c r="AP238" t="s">
        <v>176</v>
      </c>
      <c r="AQ238" s="12" t="b">
        <v>0</v>
      </c>
      <c r="BR238" s="12" t="s">
        <v>178</v>
      </c>
      <c r="BV238" s="12" t="s">
        <v>210</v>
      </c>
      <c r="CF238" s="12" t="s">
        <v>187</v>
      </c>
      <c r="CS238" s="12" t="s">
        <v>227</v>
      </c>
      <c r="DA238" s="12">
        <v>1</v>
      </c>
      <c r="DN238" s="12" t="b">
        <v>0</v>
      </c>
      <c r="DV238">
        <f t="shared" si="155"/>
        <v>0.5</v>
      </c>
    </row>
    <row r="239" spans="1:126" hidden="1" x14ac:dyDescent="0.25">
      <c r="A239" t="s">
        <v>718</v>
      </c>
      <c r="B239" t="s">
        <v>699</v>
      </c>
      <c r="C239" t="s">
        <v>700</v>
      </c>
      <c r="D239" t="s">
        <v>713</v>
      </c>
      <c r="E239" t="s">
        <v>714</v>
      </c>
      <c r="F239" t="s">
        <v>134</v>
      </c>
      <c r="G239" t="s">
        <v>201</v>
      </c>
      <c r="H239" t="s">
        <v>136</v>
      </c>
      <c r="I239" t="s">
        <v>135</v>
      </c>
      <c r="M239" t="s">
        <v>137</v>
      </c>
      <c r="N239" t="b">
        <v>0</v>
      </c>
      <c r="DB239" s="12"/>
      <c r="DV239">
        <f t="shared" si="155"/>
        <v>1</v>
      </c>
    </row>
    <row r="240" spans="1:126" hidden="1" x14ac:dyDescent="0.25">
      <c r="A240" t="s">
        <v>719</v>
      </c>
      <c r="B240" t="s">
        <v>699</v>
      </c>
      <c r="C240" t="s">
        <v>700</v>
      </c>
      <c r="D240" t="s">
        <v>720</v>
      </c>
      <c r="E240" t="s">
        <v>721</v>
      </c>
      <c r="F240" t="s">
        <v>703</v>
      </c>
      <c r="G240" t="s">
        <v>140</v>
      </c>
      <c r="H240" t="s">
        <v>139</v>
      </c>
      <c r="I240" t="s">
        <v>142</v>
      </c>
      <c r="M240" t="s">
        <v>137</v>
      </c>
      <c r="N240" t="b">
        <v>0</v>
      </c>
      <c r="Y240" s="12">
        <v>45</v>
      </c>
      <c r="AE240" s="12" t="s">
        <v>144</v>
      </c>
      <c r="AI240" s="12" t="s">
        <v>206</v>
      </c>
      <c r="AJ240" s="12" t="s">
        <v>207</v>
      </c>
      <c r="AK240" s="12" t="s">
        <v>208</v>
      </c>
      <c r="AR240" s="12" t="str">
        <f>HYPERLINK("https://www.google.com/search?q=Lightnin 710060 30 rpm","Lightnin 710060 30 rpm")</f>
        <v>Lightnin 710060 30 rpm</v>
      </c>
      <c r="AS240">
        <v>600</v>
      </c>
      <c r="AT240" t="s">
        <v>148</v>
      </c>
      <c r="AU240">
        <v>600</v>
      </c>
      <c r="AV240" t="s">
        <v>148</v>
      </c>
      <c r="AW240">
        <v>1100</v>
      </c>
      <c r="AX240" t="s">
        <v>148</v>
      </c>
      <c r="AY240" s="12">
        <v>150</v>
      </c>
      <c r="AZ240" t="s">
        <v>149</v>
      </c>
      <c r="BF240" s="12" t="s">
        <v>150</v>
      </c>
      <c r="BH240" s="12" t="s">
        <v>151</v>
      </c>
      <c r="BI240" s="12" t="s">
        <v>152</v>
      </c>
      <c r="BL240" s="12" t="s">
        <v>159</v>
      </c>
      <c r="BN240" s="12" t="s">
        <v>154</v>
      </c>
      <c r="BP240" s="12" t="s">
        <v>155</v>
      </c>
      <c r="BT240" s="12" t="s">
        <v>156</v>
      </c>
      <c r="BV240" s="12" t="s">
        <v>157</v>
      </c>
      <c r="BY240" s="12" t="s">
        <v>155</v>
      </c>
      <c r="CA240" s="12" t="s">
        <v>218</v>
      </c>
      <c r="CD240" s="12">
        <v>200</v>
      </c>
      <c r="CE240" t="s">
        <v>148</v>
      </c>
      <c r="CH240" s="12" t="s">
        <v>665</v>
      </c>
      <c r="CU240" s="12" t="s">
        <v>578</v>
      </c>
      <c r="DC240" s="12" t="b">
        <v>1</v>
      </c>
      <c r="DD240" s="12" t="s">
        <v>219</v>
      </c>
      <c r="DG240" s="12" t="s">
        <v>334</v>
      </c>
      <c r="DK240" t="s">
        <v>705</v>
      </c>
      <c r="DL240" t="s">
        <v>162</v>
      </c>
      <c r="DV240">
        <f t="shared" si="155"/>
        <v>0.5</v>
      </c>
    </row>
    <row r="241" spans="1:131" hidden="1" x14ac:dyDescent="0.25">
      <c r="A241" t="s">
        <v>722</v>
      </c>
      <c r="B241" t="s">
        <v>699</v>
      </c>
      <c r="C241" t="s">
        <v>700</v>
      </c>
      <c r="D241" t="s">
        <v>720</v>
      </c>
      <c r="E241" t="s">
        <v>721</v>
      </c>
      <c r="F241" t="s">
        <v>703</v>
      </c>
      <c r="G241" t="s">
        <v>140</v>
      </c>
      <c r="H241" t="s">
        <v>202</v>
      </c>
      <c r="I241" t="s">
        <v>165</v>
      </c>
      <c r="L241" t="s">
        <v>716</v>
      </c>
      <c r="M241" t="s">
        <v>137</v>
      </c>
      <c r="N241" t="b">
        <v>0</v>
      </c>
      <c r="P241" s="12"/>
      <c r="Q241" s="12"/>
      <c r="R241" s="12"/>
      <c r="S241" t="s">
        <v>225</v>
      </c>
      <c r="T241" s="12" t="s">
        <v>708</v>
      </c>
      <c r="U241" s="12"/>
      <c r="V241" t="s">
        <v>225</v>
      </c>
      <c r="Z241" s="12">
        <v>1500</v>
      </c>
      <c r="AA241" s="12" t="s">
        <v>169</v>
      </c>
      <c r="AB241" s="12">
        <v>130</v>
      </c>
      <c r="AC241" t="s">
        <v>148</v>
      </c>
      <c r="AD241" s="12"/>
      <c r="AE241" s="12" t="s">
        <v>144</v>
      </c>
      <c r="AF241" s="12" t="s">
        <v>171</v>
      </c>
      <c r="AG241" s="13" t="s">
        <v>172</v>
      </c>
      <c r="AH241" s="12" t="s">
        <v>173</v>
      </c>
      <c r="AI241" s="12" t="s">
        <v>206</v>
      </c>
      <c r="AJ241" s="12" t="s">
        <v>207</v>
      </c>
      <c r="AK241" s="12" t="s">
        <v>208</v>
      </c>
      <c r="AL241" s="12" t="s">
        <v>209</v>
      </c>
      <c r="AM241" s="12">
        <f>5*29</f>
        <v>145</v>
      </c>
      <c r="AN241" s="12" t="s">
        <v>175</v>
      </c>
      <c r="AO241" s="12">
        <v>3</v>
      </c>
      <c r="AP241" t="s">
        <v>176</v>
      </c>
      <c r="AQ241" s="12" t="b">
        <v>0</v>
      </c>
      <c r="BR241" s="12" t="s">
        <v>155</v>
      </c>
      <c r="BV241" s="12" t="s">
        <v>210</v>
      </c>
      <c r="CF241" s="12" t="s">
        <v>187</v>
      </c>
      <c r="CS241" s="12" t="s">
        <v>227</v>
      </c>
      <c r="DA241" s="12">
        <v>1</v>
      </c>
      <c r="DN241" s="12" t="b">
        <v>0</v>
      </c>
      <c r="DV241">
        <f t="shared" si="155"/>
        <v>0.5</v>
      </c>
    </row>
    <row r="242" spans="1:131" hidden="1" x14ac:dyDescent="0.25">
      <c r="A242" t="s">
        <v>723</v>
      </c>
      <c r="B242" t="s">
        <v>699</v>
      </c>
      <c r="C242" t="s">
        <v>700</v>
      </c>
      <c r="D242" t="s">
        <v>720</v>
      </c>
      <c r="E242" t="s">
        <v>721</v>
      </c>
      <c r="F242" t="s">
        <v>703</v>
      </c>
      <c r="G242" t="s">
        <v>140</v>
      </c>
      <c r="H242" t="s">
        <v>212</v>
      </c>
      <c r="I242" t="s">
        <v>165</v>
      </c>
      <c r="L242" t="s">
        <v>710</v>
      </c>
      <c r="M242" t="s">
        <v>137</v>
      </c>
      <c r="N242" t="b">
        <v>0</v>
      </c>
      <c r="P242" s="12"/>
      <c r="Q242" s="12"/>
      <c r="R242" s="12"/>
      <c r="S242" t="s">
        <v>225</v>
      </c>
      <c r="T242" s="12" t="s">
        <v>708</v>
      </c>
      <c r="U242" s="12"/>
      <c r="V242" t="s">
        <v>225</v>
      </c>
      <c r="Z242" s="12"/>
      <c r="AA242" s="12" t="s">
        <v>485</v>
      </c>
      <c r="AB242" s="12">
        <v>130</v>
      </c>
      <c r="AC242" t="s">
        <v>148</v>
      </c>
      <c r="AD242" s="12"/>
      <c r="AE242" s="12" t="s">
        <v>144</v>
      </c>
      <c r="AF242" s="12" t="s">
        <v>171</v>
      </c>
      <c r="AG242" s="13" t="s">
        <v>172</v>
      </c>
      <c r="AH242" s="12" t="s">
        <v>173</v>
      </c>
      <c r="AI242" s="12" t="s">
        <v>206</v>
      </c>
      <c r="AJ242" s="12" t="s">
        <v>207</v>
      </c>
      <c r="AK242" s="12" t="s">
        <v>208</v>
      </c>
      <c r="AL242" s="12" t="s">
        <v>209</v>
      </c>
      <c r="AM242" s="12">
        <f>5*29</f>
        <v>145</v>
      </c>
      <c r="AN242" s="12" t="s">
        <v>175</v>
      </c>
      <c r="AO242" s="12">
        <v>3</v>
      </c>
      <c r="AP242" t="s">
        <v>176</v>
      </c>
      <c r="AQ242" s="12" t="b">
        <v>0</v>
      </c>
      <c r="BR242" s="12" t="s">
        <v>178</v>
      </c>
      <c r="BV242" s="12" t="s">
        <v>210</v>
      </c>
      <c r="CF242" s="12" t="s">
        <v>187</v>
      </c>
      <c r="CS242" s="12" t="s">
        <v>227</v>
      </c>
      <c r="DA242" s="12">
        <v>1</v>
      </c>
      <c r="DN242" s="12" t="b">
        <v>0</v>
      </c>
      <c r="DV242">
        <f t="shared" ref="DV242:DV251" si="160">IF(AA244="Horizontal",1,0.5)</f>
        <v>0.5</v>
      </c>
    </row>
    <row r="243" spans="1:131" hidden="1" x14ac:dyDescent="0.25">
      <c r="A243" t="s">
        <v>724</v>
      </c>
      <c r="B243" t="s">
        <v>699</v>
      </c>
      <c r="C243" t="s">
        <v>700</v>
      </c>
      <c r="D243" t="s">
        <v>720</v>
      </c>
      <c r="E243" t="s">
        <v>721</v>
      </c>
      <c r="F243" t="s">
        <v>134</v>
      </c>
      <c r="G243" t="s">
        <v>201</v>
      </c>
      <c r="H243" t="s">
        <v>136</v>
      </c>
      <c r="I243" t="s">
        <v>135</v>
      </c>
      <c r="M243" t="s">
        <v>137</v>
      </c>
      <c r="N243" t="b">
        <v>0</v>
      </c>
      <c r="DB243" s="12"/>
      <c r="DV243">
        <f t="shared" si="160"/>
        <v>1</v>
      </c>
    </row>
    <row r="244" spans="1:131" hidden="1" x14ac:dyDescent="0.25">
      <c r="A244" t="s">
        <v>725</v>
      </c>
      <c r="B244" t="s">
        <v>699</v>
      </c>
      <c r="C244" t="s">
        <v>700</v>
      </c>
      <c r="D244" t="s">
        <v>726</v>
      </c>
      <c r="E244" t="s">
        <v>727</v>
      </c>
      <c r="F244" t="s">
        <v>703</v>
      </c>
      <c r="G244" t="s">
        <v>140</v>
      </c>
      <c r="H244" t="s">
        <v>139</v>
      </c>
      <c r="I244" t="s">
        <v>142</v>
      </c>
      <c r="M244" t="s">
        <v>137</v>
      </c>
      <c r="N244" t="b">
        <v>0</v>
      </c>
      <c r="Y244" s="12">
        <v>45</v>
      </c>
      <c r="AE244" s="12" t="s">
        <v>144</v>
      </c>
      <c r="AI244" s="12" t="s">
        <v>206</v>
      </c>
      <c r="AJ244" s="12" t="s">
        <v>207</v>
      </c>
      <c r="AK244" s="12" t="s">
        <v>208</v>
      </c>
      <c r="AR244" s="12" t="str">
        <f>HYPERLINK("https://www.google.com/search?q=Lightnin 710060 30 rpm","Lightnin 710060 30 rpm")</f>
        <v>Lightnin 710060 30 rpm</v>
      </c>
      <c r="AS244">
        <v>550</v>
      </c>
      <c r="AT244" t="s">
        <v>148</v>
      </c>
      <c r="AU244">
        <v>850</v>
      </c>
      <c r="AV244" t="s">
        <v>148</v>
      </c>
      <c r="AW244">
        <v>1350</v>
      </c>
      <c r="AX244" t="s">
        <v>148</v>
      </c>
      <c r="AY244" s="12">
        <v>150</v>
      </c>
      <c r="AZ244" t="s">
        <v>149</v>
      </c>
      <c r="BF244" s="12" t="s">
        <v>150</v>
      </c>
      <c r="BH244" s="12" t="s">
        <v>151</v>
      </c>
      <c r="BI244" s="12" t="s">
        <v>152</v>
      </c>
      <c r="BL244" s="12" t="s">
        <v>159</v>
      </c>
      <c r="BN244" s="12" t="s">
        <v>154</v>
      </c>
      <c r="BP244" s="12" t="s">
        <v>155</v>
      </c>
      <c r="BT244" s="12" t="s">
        <v>156</v>
      </c>
      <c r="BV244" s="12" t="s">
        <v>157</v>
      </c>
      <c r="BY244" s="12" t="s">
        <v>155</v>
      </c>
      <c r="CA244" s="12" t="s">
        <v>218</v>
      </c>
      <c r="CD244" s="12">
        <v>200</v>
      </c>
      <c r="CE244" t="s">
        <v>148</v>
      </c>
      <c r="CH244" s="12" t="s">
        <v>665</v>
      </c>
      <c r="CU244" s="12" t="s">
        <v>578</v>
      </c>
      <c r="DC244" s="12" t="b">
        <v>1</v>
      </c>
      <c r="DD244" s="12" t="s">
        <v>219</v>
      </c>
      <c r="DG244" s="12" t="s">
        <v>334</v>
      </c>
      <c r="DK244" t="s">
        <v>705</v>
      </c>
      <c r="DL244" t="s">
        <v>162</v>
      </c>
      <c r="DV244">
        <f t="shared" si="160"/>
        <v>0.5</v>
      </c>
    </row>
    <row r="245" spans="1:131" hidden="1" x14ac:dyDescent="0.25">
      <c r="A245" t="s">
        <v>728</v>
      </c>
      <c r="B245" t="s">
        <v>699</v>
      </c>
      <c r="C245" t="s">
        <v>700</v>
      </c>
      <c r="D245" t="s">
        <v>726</v>
      </c>
      <c r="E245" t="s">
        <v>727</v>
      </c>
      <c r="F245" t="s">
        <v>703</v>
      </c>
      <c r="G245" t="s">
        <v>140</v>
      </c>
      <c r="H245" t="s">
        <v>202</v>
      </c>
      <c r="I245" t="s">
        <v>165</v>
      </c>
      <c r="L245" t="s">
        <v>716</v>
      </c>
      <c r="M245" t="s">
        <v>137</v>
      </c>
      <c r="N245" t="b">
        <v>0</v>
      </c>
      <c r="P245" s="12"/>
      <c r="Q245" s="12"/>
      <c r="R245" s="12"/>
      <c r="S245" t="s">
        <v>225</v>
      </c>
      <c r="T245" s="12" t="s">
        <v>708</v>
      </c>
      <c r="U245" s="12"/>
      <c r="V245" t="s">
        <v>225</v>
      </c>
      <c r="Z245" s="12">
        <v>1500</v>
      </c>
      <c r="AA245" s="12" t="s">
        <v>169</v>
      </c>
      <c r="AB245" s="12">
        <v>130</v>
      </c>
      <c r="AC245" t="s">
        <v>148</v>
      </c>
      <c r="AD245" s="12"/>
      <c r="AE245" s="12" t="s">
        <v>144</v>
      </c>
      <c r="AF245" s="12" t="s">
        <v>171</v>
      </c>
      <c r="AG245" s="13" t="s">
        <v>172</v>
      </c>
      <c r="AH245" s="12" t="s">
        <v>173</v>
      </c>
      <c r="AI245" s="12" t="s">
        <v>206</v>
      </c>
      <c r="AJ245" s="12" t="s">
        <v>207</v>
      </c>
      <c r="AK245" s="12" t="s">
        <v>208</v>
      </c>
      <c r="AL245" s="12" t="s">
        <v>209</v>
      </c>
      <c r="AM245" s="12">
        <f>5*29</f>
        <v>145</v>
      </c>
      <c r="AN245" s="12" t="s">
        <v>175</v>
      </c>
      <c r="AO245" s="12">
        <v>3</v>
      </c>
      <c r="AP245" t="s">
        <v>176</v>
      </c>
      <c r="AQ245" s="12" t="b">
        <v>0</v>
      </c>
      <c r="BR245" s="12" t="s">
        <v>155</v>
      </c>
      <c r="BV245" s="12" t="s">
        <v>210</v>
      </c>
      <c r="CF245" s="12" t="s">
        <v>426</v>
      </c>
      <c r="CS245" s="12" t="s">
        <v>227</v>
      </c>
      <c r="DA245" s="12">
        <v>1</v>
      </c>
      <c r="DN245" s="12" t="b">
        <v>0</v>
      </c>
      <c r="DV245">
        <f t="shared" si="160"/>
        <v>0.5</v>
      </c>
    </row>
    <row r="246" spans="1:131" hidden="1" x14ac:dyDescent="0.25">
      <c r="A246" t="s">
        <v>729</v>
      </c>
      <c r="B246" t="s">
        <v>699</v>
      </c>
      <c r="C246" t="s">
        <v>700</v>
      </c>
      <c r="D246" t="s">
        <v>726</v>
      </c>
      <c r="E246" t="s">
        <v>727</v>
      </c>
      <c r="F246" t="s">
        <v>703</v>
      </c>
      <c r="G246" t="s">
        <v>140</v>
      </c>
      <c r="H246" t="s">
        <v>212</v>
      </c>
      <c r="I246" t="s">
        <v>165</v>
      </c>
      <c r="L246" t="s">
        <v>710</v>
      </c>
      <c r="M246" t="s">
        <v>137</v>
      </c>
      <c r="N246" t="b">
        <v>0</v>
      </c>
      <c r="P246" s="12"/>
      <c r="Q246" s="12"/>
      <c r="R246" s="12"/>
      <c r="S246" t="s">
        <v>225</v>
      </c>
      <c r="T246" s="12" t="s">
        <v>708</v>
      </c>
      <c r="U246" s="12"/>
      <c r="V246" t="s">
        <v>225</v>
      </c>
      <c r="Z246" s="12"/>
      <c r="AA246" s="12" t="s">
        <v>485</v>
      </c>
      <c r="AB246" s="12">
        <v>130</v>
      </c>
      <c r="AC246" t="s">
        <v>148</v>
      </c>
      <c r="AD246" s="12"/>
      <c r="AE246" s="12" t="s">
        <v>144</v>
      </c>
      <c r="AF246" s="12" t="s">
        <v>171</v>
      </c>
      <c r="AG246" s="13" t="s">
        <v>172</v>
      </c>
      <c r="AH246" s="12" t="s">
        <v>173</v>
      </c>
      <c r="AI246" s="12" t="s">
        <v>206</v>
      </c>
      <c r="AJ246" s="12" t="s">
        <v>207</v>
      </c>
      <c r="AK246" s="12" t="s">
        <v>208</v>
      </c>
      <c r="AL246" s="12" t="s">
        <v>209</v>
      </c>
      <c r="AM246" s="12">
        <f>5*29</f>
        <v>145</v>
      </c>
      <c r="AN246" s="12" t="s">
        <v>175</v>
      </c>
      <c r="AO246" s="12">
        <v>3</v>
      </c>
      <c r="AP246" t="s">
        <v>176</v>
      </c>
      <c r="AQ246" s="12" t="b">
        <v>0</v>
      </c>
      <c r="BR246" s="12" t="s">
        <v>178</v>
      </c>
      <c r="BV246" s="12" t="s">
        <v>210</v>
      </c>
      <c r="CF246" s="12" t="s">
        <v>187</v>
      </c>
      <c r="CS246" s="12" t="s">
        <v>227</v>
      </c>
      <c r="DA246" s="12">
        <v>1</v>
      </c>
      <c r="DN246" s="12" t="b">
        <v>0</v>
      </c>
      <c r="DV246">
        <f t="shared" si="160"/>
        <v>0.5</v>
      </c>
    </row>
    <row r="247" spans="1:131" hidden="1" x14ac:dyDescent="0.25">
      <c r="A247" t="s">
        <v>730</v>
      </c>
      <c r="B247" t="s">
        <v>699</v>
      </c>
      <c r="C247" t="s">
        <v>700</v>
      </c>
      <c r="D247" t="s">
        <v>726</v>
      </c>
      <c r="E247" t="s">
        <v>727</v>
      </c>
      <c r="F247" t="s">
        <v>134</v>
      </c>
      <c r="G247" t="s">
        <v>201</v>
      </c>
      <c r="H247" t="s">
        <v>136</v>
      </c>
      <c r="I247" t="s">
        <v>135</v>
      </c>
      <c r="M247" t="s">
        <v>137</v>
      </c>
      <c r="N247" t="b">
        <v>0</v>
      </c>
      <c r="DB247" s="12"/>
      <c r="DV247">
        <f t="shared" si="160"/>
        <v>0.5</v>
      </c>
    </row>
    <row r="248" spans="1:131" hidden="1" x14ac:dyDescent="0.25">
      <c r="A248" t="s">
        <v>731</v>
      </c>
      <c r="B248" t="s">
        <v>732</v>
      </c>
      <c r="C248" t="s">
        <v>733</v>
      </c>
      <c r="D248" t="s">
        <v>734</v>
      </c>
      <c r="E248" t="s">
        <v>735</v>
      </c>
      <c r="F248" t="s">
        <v>736</v>
      </c>
      <c r="G248" t="s">
        <v>618</v>
      </c>
      <c r="H248" t="s">
        <v>354</v>
      </c>
      <c r="I248" t="s">
        <v>355</v>
      </c>
      <c r="M248" t="s">
        <v>137</v>
      </c>
      <c r="N248" t="b">
        <v>0</v>
      </c>
      <c r="AR248" s="12" t="str">
        <f>HYPERLINK("https://www.google.com/search?q=","")</f>
        <v/>
      </c>
      <c r="CC248" s="12" t="b">
        <v>1</v>
      </c>
      <c r="CI248" s="12"/>
      <c r="CJ248" s="12" t="s">
        <v>609</v>
      </c>
      <c r="CK248" s="12" t="s">
        <v>610</v>
      </c>
      <c r="CL248" s="12"/>
      <c r="CM248" s="12"/>
      <c r="CN248" t="s">
        <v>356</v>
      </c>
      <c r="CO248" s="12" t="s">
        <v>620</v>
      </c>
      <c r="DD248" s="12" t="s">
        <v>155</v>
      </c>
      <c r="DG248" s="12" t="s">
        <v>737</v>
      </c>
      <c r="DV248">
        <f t="shared" si="160"/>
        <v>0.5</v>
      </c>
    </row>
    <row r="249" spans="1:131" ht="180" hidden="1" x14ac:dyDescent="0.25">
      <c r="A249" t="s">
        <v>738</v>
      </c>
      <c r="B249" t="s">
        <v>732</v>
      </c>
      <c r="C249" t="s">
        <v>733</v>
      </c>
      <c r="D249" t="s">
        <v>734</v>
      </c>
      <c r="E249" t="s">
        <v>735</v>
      </c>
      <c r="F249" t="s">
        <v>736</v>
      </c>
      <c r="G249" t="s">
        <v>618</v>
      </c>
      <c r="H249" t="s">
        <v>166</v>
      </c>
      <c r="I249" t="s">
        <v>739</v>
      </c>
      <c r="L249" s="11" t="s">
        <v>740</v>
      </c>
      <c r="M249" t="s">
        <v>137</v>
      </c>
      <c r="N249" t="b">
        <v>0</v>
      </c>
      <c r="P249" s="12"/>
      <c r="Q249" s="12"/>
      <c r="Z249" s="12"/>
      <c r="AE249" s="12" t="s">
        <v>144</v>
      </c>
      <c r="AI249" s="12" t="s">
        <v>206</v>
      </c>
      <c r="AJ249" s="12" t="s">
        <v>207</v>
      </c>
      <c r="AK249" s="12" t="s">
        <v>208</v>
      </c>
      <c r="AR249" s="12" t="str">
        <f>HYPERLINK("https://www.google.com/search?q=HAZLETON","HAZLETON")</f>
        <v>HAZLETON</v>
      </c>
      <c r="BL249" s="16" t="s">
        <v>339</v>
      </c>
      <c r="BN249" s="12" t="s">
        <v>154</v>
      </c>
      <c r="CA249" s="12" t="s">
        <v>218</v>
      </c>
      <c r="DD249" t="s">
        <v>626</v>
      </c>
      <c r="DV249">
        <f t="shared" si="160"/>
        <v>0.5</v>
      </c>
    </row>
    <row r="250" spans="1:131" ht="300" hidden="1" x14ac:dyDescent="0.25">
      <c r="A250" t="s">
        <v>741</v>
      </c>
      <c r="B250" t="s">
        <v>732</v>
      </c>
      <c r="C250" t="s">
        <v>733</v>
      </c>
      <c r="D250" t="s">
        <v>734</v>
      </c>
      <c r="E250" t="s">
        <v>735</v>
      </c>
      <c r="F250" t="s">
        <v>736</v>
      </c>
      <c r="G250" t="s">
        <v>618</v>
      </c>
      <c r="H250" t="s">
        <v>359</v>
      </c>
      <c r="I250" t="s">
        <v>663</v>
      </c>
      <c r="L250" s="11" t="s">
        <v>742</v>
      </c>
      <c r="M250" t="s">
        <v>137</v>
      </c>
      <c r="N250" t="b">
        <v>0</v>
      </c>
      <c r="AI250" s="12" t="s">
        <v>206</v>
      </c>
      <c r="AJ250" s="12" t="s">
        <v>207</v>
      </c>
      <c r="AK250" s="12" t="s">
        <v>208</v>
      </c>
      <c r="AS250">
        <v>300</v>
      </c>
      <c r="AT250" t="s">
        <v>148</v>
      </c>
      <c r="AU250">
        <v>600</v>
      </c>
      <c r="AV250" t="s">
        <v>148</v>
      </c>
      <c r="AW250">
        <v>900</v>
      </c>
      <c r="AX250" t="s">
        <v>148</v>
      </c>
      <c r="AY250" s="12">
        <v>130</v>
      </c>
      <c r="AZ250" t="s">
        <v>149</v>
      </c>
      <c r="BL250" s="12" t="s">
        <v>153</v>
      </c>
      <c r="BN250" s="12" t="s">
        <v>154</v>
      </c>
      <c r="BP250" s="12" t="s">
        <v>155</v>
      </c>
      <c r="BT250" s="12" t="s">
        <v>604</v>
      </c>
      <c r="BV250" s="12" t="s">
        <v>743</v>
      </c>
      <c r="BY250" s="12" t="s">
        <v>155</v>
      </c>
      <c r="CA250" s="12" t="s">
        <v>218</v>
      </c>
      <c r="CD250" s="12">
        <v>200</v>
      </c>
      <c r="CE250" t="s">
        <v>148</v>
      </c>
      <c r="CH250" s="15" t="s">
        <v>577</v>
      </c>
      <c r="CU250" s="12" t="s">
        <v>578</v>
      </c>
      <c r="DC250" s="12" t="b">
        <v>0</v>
      </c>
      <c r="DD250" s="12" t="s">
        <v>626</v>
      </c>
      <c r="DG250" s="12"/>
      <c r="DL250" t="s">
        <v>629</v>
      </c>
      <c r="DP250" s="12">
        <v>3</v>
      </c>
      <c r="DV250">
        <f t="shared" si="160"/>
        <v>1</v>
      </c>
    </row>
    <row r="251" spans="1:131" ht="330" hidden="1" x14ac:dyDescent="0.25">
      <c r="A251" t="s">
        <v>744</v>
      </c>
      <c r="B251" t="s">
        <v>732</v>
      </c>
      <c r="C251" t="s">
        <v>733</v>
      </c>
      <c r="D251" t="s">
        <v>734</v>
      </c>
      <c r="E251" t="s">
        <v>735</v>
      </c>
      <c r="F251" t="s">
        <v>736</v>
      </c>
      <c r="G251" t="s">
        <v>618</v>
      </c>
      <c r="H251" t="s">
        <v>612</v>
      </c>
      <c r="I251" t="s">
        <v>613</v>
      </c>
      <c r="L251" s="11" t="s">
        <v>745</v>
      </c>
      <c r="M251" t="s">
        <v>137</v>
      </c>
      <c r="N251" t="b">
        <v>0</v>
      </c>
      <c r="CA251" s="12" t="s">
        <v>218</v>
      </c>
      <c r="DV251">
        <f t="shared" si="160"/>
        <v>1</v>
      </c>
    </row>
    <row r="252" spans="1:131" hidden="1" x14ac:dyDescent="0.25">
      <c r="A252" t="s">
        <v>746</v>
      </c>
      <c r="B252" t="s">
        <v>732</v>
      </c>
      <c r="C252" t="s">
        <v>733</v>
      </c>
      <c r="D252" t="s">
        <v>734</v>
      </c>
      <c r="E252" t="s">
        <v>735</v>
      </c>
      <c r="F252" t="s">
        <v>134</v>
      </c>
      <c r="G252" t="s">
        <v>201</v>
      </c>
      <c r="H252" t="s">
        <v>202</v>
      </c>
      <c r="I252" t="s">
        <v>201</v>
      </c>
      <c r="L252" t="s">
        <v>553</v>
      </c>
      <c r="M252" t="s">
        <v>137</v>
      </c>
      <c r="N252" t="b">
        <v>0</v>
      </c>
      <c r="P252" s="12"/>
      <c r="Q252" s="12"/>
      <c r="T252" t="s">
        <v>203</v>
      </c>
      <c r="X252" s="12">
        <v>5800</v>
      </c>
      <c r="Y252" s="12">
        <v>750</v>
      </c>
      <c r="Z252" s="12">
        <v>1500</v>
      </c>
      <c r="AA252" s="12" t="s">
        <v>169</v>
      </c>
      <c r="AB252">
        <f t="shared" ref="AB252:AB253" si="161">25*5</f>
        <v>125</v>
      </c>
      <c r="AC252" t="s">
        <v>148</v>
      </c>
      <c r="AE252" s="12" t="s">
        <v>144</v>
      </c>
      <c r="AF252" s="12" t="s">
        <v>171</v>
      </c>
      <c r="AI252" s="12" t="s">
        <v>206</v>
      </c>
      <c r="AJ252" s="12" t="s">
        <v>207</v>
      </c>
      <c r="AK252" s="12" t="s">
        <v>208</v>
      </c>
      <c r="AL252" s="12" t="s">
        <v>174</v>
      </c>
      <c r="AM252" s="12">
        <v>35</v>
      </c>
      <c r="AN252" t="s">
        <v>175</v>
      </c>
      <c r="AO252" s="12">
        <v>2</v>
      </c>
      <c r="AP252" t="s">
        <v>176</v>
      </c>
      <c r="AQ252" s="12" t="b">
        <v>1</v>
      </c>
      <c r="AR252" s="12" t="str">
        <f>HYPERLINK("https://www.google.com/search?q=Siemens","Siemens")</f>
        <v>Siemens</v>
      </c>
      <c r="BR252" s="12" t="s">
        <v>155</v>
      </c>
      <c r="BV252" s="12" t="s">
        <v>210</v>
      </c>
      <c r="CF252" s="12" t="s">
        <v>268</v>
      </c>
      <c r="CS252" s="12" t="s">
        <v>181</v>
      </c>
      <c r="DA252" s="12">
        <v>2</v>
      </c>
      <c r="DF252" t="s">
        <v>178</v>
      </c>
      <c r="DN252" s="12" t="b">
        <v>1</v>
      </c>
      <c r="DQ252">
        <f t="shared" ref="DQ252:DQ253" si="162">IF(T252="Ball",10,0)</f>
        <v>10</v>
      </c>
      <c r="DR252">
        <f t="shared" ref="DR252:DR253" si="163">IF(AE252="125°F (51.7°C) - 150°F (65.6°C)",1,0.5)</f>
        <v>1</v>
      </c>
      <c r="DS252" cm="1">
        <f t="array" ref="DS252">IF(AF252="&lt;0.2 ips",1,O.5)</f>
        <v>1</v>
      </c>
      <c r="DT252">
        <v>0.2</v>
      </c>
      <c r="DU252">
        <v>0.4</v>
      </c>
      <c r="DV252">
        <v>1</v>
      </c>
      <c r="DW252">
        <v>0.9</v>
      </c>
      <c r="DX252">
        <f t="shared" ref="DX252:DX253" si="164">PRODUCT(DQ252:DV252)</f>
        <v>0.8</v>
      </c>
      <c r="DY252">
        <f t="shared" ref="DY252:DY253" si="165">+DX252*((14000000/(Z252*AB252^0.5))-4*AB252)</f>
        <v>267.8389692799372</v>
      </c>
      <c r="DZ252">
        <f t="shared" ref="DZ252:DZ253" si="166">+DY252/8760</f>
        <v>3.0575224803645801E-2</v>
      </c>
      <c r="EA252">
        <f t="shared" ref="EA252:EA253" si="167">ROUND(+DZ252*12,1)</f>
        <v>0.4</v>
      </c>
    </row>
    <row r="253" spans="1:131" hidden="1" x14ac:dyDescent="0.25">
      <c r="A253" t="s">
        <v>747</v>
      </c>
      <c r="B253" t="s">
        <v>732</v>
      </c>
      <c r="C253" t="s">
        <v>733</v>
      </c>
      <c r="D253" t="s">
        <v>734</v>
      </c>
      <c r="E253" t="s">
        <v>735</v>
      </c>
      <c r="F253" t="s">
        <v>134</v>
      </c>
      <c r="G253" t="s">
        <v>201</v>
      </c>
      <c r="H253" t="s">
        <v>212</v>
      </c>
      <c r="I253" t="s">
        <v>201</v>
      </c>
      <c r="L253" t="s">
        <v>553</v>
      </c>
      <c r="M253" t="s">
        <v>137</v>
      </c>
      <c r="N253" t="b">
        <v>0</v>
      </c>
      <c r="P253" s="12"/>
      <c r="Q253" s="12"/>
      <c r="T253" t="s">
        <v>203</v>
      </c>
      <c r="X253" s="12">
        <v>5800</v>
      </c>
      <c r="Y253" s="12">
        <v>750</v>
      </c>
      <c r="Z253" s="12">
        <v>1500</v>
      </c>
      <c r="AA253" s="12" t="s">
        <v>169</v>
      </c>
      <c r="AB253">
        <f t="shared" si="161"/>
        <v>125</v>
      </c>
      <c r="AC253" t="s">
        <v>148</v>
      </c>
      <c r="AE253" s="12" t="s">
        <v>144</v>
      </c>
      <c r="AF253" s="12" t="s">
        <v>171</v>
      </c>
      <c r="AI253" s="12" t="s">
        <v>206</v>
      </c>
      <c r="AJ253" s="12" t="s">
        <v>207</v>
      </c>
      <c r="AK253" s="12" t="s">
        <v>208</v>
      </c>
      <c r="AL253" s="12" t="s">
        <v>174</v>
      </c>
      <c r="AM253" s="12">
        <v>35</v>
      </c>
      <c r="AN253" t="s">
        <v>175</v>
      </c>
      <c r="AO253" s="12">
        <v>2</v>
      </c>
      <c r="AP253" t="s">
        <v>176</v>
      </c>
      <c r="AQ253" s="12" t="b">
        <v>1</v>
      </c>
      <c r="AR253" s="12" t="str">
        <f>HYPERLINK("https://www.google.com/search?q=Siemens","Siemens")</f>
        <v>Siemens</v>
      </c>
      <c r="BR253" s="12" t="s">
        <v>155</v>
      </c>
      <c r="BV253" s="12" t="s">
        <v>210</v>
      </c>
      <c r="CF253" s="12" t="s">
        <v>268</v>
      </c>
      <c r="CS253" s="12" t="s">
        <v>181</v>
      </c>
      <c r="DA253" s="12">
        <v>2</v>
      </c>
      <c r="DF253" t="s">
        <v>178</v>
      </c>
      <c r="DN253" s="12" t="b">
        <v>1</v>
      </c>
      <c r="DQ253">
        <f t="shared" si="162"/>
        <v>10</v>
      </c>
      <c r="DR253">
        <f t="shared" si="163"/>
        <v>1</v>
      </c>
      <c r="DS253" cm="1">
        <f t="array" ref="DS253">IF(AF253="&lt;0.2 ips",1,O.5)</f>
        <v>1</v>
      </c>
      <c r="DT253">
        <v>0.2</v>
      </c>
      <c r="DU253">
        <v>0.4</v>
      </c>
      <c r="DV253">
        <v>1</v>
      </c>
      <c r="DW253">
        <v>0.9</v>
      </c>
      <c r="DX253">
        <f t="shared" si="164"/>
        <v>0.8</v>
      </c>
      <c r="DY253">
        <f t="shared" si="165"/>
        <v>267.8389692799372</v>
      </c>
      <c r="DZ253">
        <f t="shared" si="166"/>
        <v>3.0575224803645801E-2</v>
      </c>
      <c r="EA253">
        <f t="shared" si="167"/>
        <v>0.4</v>
      </c>
    </row>
    <row r="254" spans="1:131" hidden="1" x14ac:dyDescent="0.25">
      <c r="A254" t="s">
        <v>748</v>
      </c>
      <c r="B254" t="s">
        <v>732</v>
      </c>
      <c r="C254" t="s">
        <v>733</v>
      </c>
      <c r="D254" t="s">
        <v>749</v>
      </c>
      <c r="E254" t="s">
        <v>750</v>
      </c>
      <c r="F254" t="s">
        <v>736</v>
      </c>
      <c r="G254" t="s">
        <v>618</v>
      </c>
      <c r="H254" t="s">
        <v>354</v>
      </c>
      <c r="I254" t="s">
        <v>355</v>
      </c>
      <c r="M254" t="s">
        <v>137</v>
      </c>
      <c r="N254" t="b">
        <v>0</v>
      </c>
      <c r="AR254" s="12" t="str">
        <f>HYPERLINK("https://www.google.com/search?q=","")</f>
        <v/>
      </c>
      <c r="CC254" s="12" t="b">
        <v>1</v>
      </c>
      <c r="CI254" s="12"/>
      <c r="CJ254" s="12" t="s">
        <v>609</v>
      </c>
      <c r="CK254" s="12" t="s">
        <v>610</v>
      </c>
      <c r="CL254" s="12"/>
      <c r="CM254" s="12"/>
      <c r="CN254" t="s">
        <v>356</v>
      </c>
      <c r="CO254" s="12" t="s">
        <v>620</v>
      </c>
      <c r="DD254" s="12" t="s">
        <v>155</v>
      </c>
      <c r="DG254" s="12" t="s">
        <v>737</v>
      </c>
      <c r="DV254">
        <f t="shared" ref="DV254:DV257" si="168">IF(AA256="Horizontal",1,0.5)</f>
        <v>0.5</v>
      </c>
    </row>
    <row r="255" spans="1:131" ht="180" hidden="1" x14ac:dyDescent="0.25">
      <c r="A255" t="s">
        <v>751</v>
      </c>
      <c r="B255" t="s">
        <v>732</v>
      </c>
      <c r="C255" t="s">
        <v>733</v>
      </c>
      <c r="D255" t="s">
        <v>749</v>
      </c>
      <c r="E255" t="s">
        <v>750</v>
      </c>
      <c r="F255" t="s">
        <v>736</v>
      </c>
      <c r="G255" t="s">
        <v>618</v>
      </c>
      <c r="H255" t="s">
        <v>166</v>
      </c>
      <c r="I255" t="s">
        <v>739</v>
      </c>
      <c r="L255" s="11" t="s">
        <v>740</v>
      </c>
      <c r="M255" t="s">
        <v>137</v>
      </c>
      <c r="N255" t="b">
        <v>0</v>
      </c>
      <c r="P255" s="12"/>
      <c r="Q255" s="12"/>
      <c r="Z255" s="12"/>
      <c r="AE255" s="12" t="s">
        <v>144</v>
      </c>
      <c r="AI255" s="12" t="s">
        <v>206</v>
      </c>
      <c r="AJ255" s="12" t="s">
        <v>207</v>
      </c>
      <c r="AK255" s="12" t="s">
        <v>208</v>
      </c>
      <c r="AR255" s="12" t="str">
        <f>HYPERLINK("https://www.google.com/search?q=HAZLETON","HAZLETON")</f>
        <v>HAZLETON</v>
      </c>
      <c r="BL255" s="16" t="s">
        <v>339</v>
      </c>
      <c r="BN255" s="12" t="s">
        <v>154</v>
      </c>
      <c r="CA255" s="12" t="s">
        <v>218</v>
      </c>
      <c r="DD255" t="s">
        <v>626</v>
      </c>
      <c r="DV255">
        <f t="shared" si="168"/>
        <v>0.5</v>
      </c>
    </row>
    <row r="256" spans="1:131" ht="300" hidden="1" x14ac:dyDescent="0.25">
      <c r="A256" t="s">
        <v>752</v>
      </c>
      <c r="B256" t="s">
        <v>732</v>
      </c>
      <c r="C256" t="s">
        <v>733</v>
      </c>
      <c r="D256" t="s">
        <v>749</v>
      </c>
      <c r="E256" t="s">
        <v>750</v>
      </c>
      <c r="F256" t="s">
        <v>736</v>
      </c>
      <c r="G256" t="s">
        <v>618</v>
      </c>
      <c r="H256" t="s">
        <v>359</v>
      </c>
      <c r="I256" t="s">
        <v>663</v>
      </c>
      <c r="L256" s="11" t="s">
        <v>742</v>
      </c>
      <c r="M256" t="s">
        <v>137</v>
      </c>
      <c r="N256" t="b">
        <v>0</v>
      </c>
      <c r="AI256" s="12" t="s">
        <v>206</v>
      </c>
      <c r="AJ256" s="12" t="s">
        <v>207</v>
      </c>
      <c r="AK256" s="12" t="s">
        <v>208</v>
      </c>
      <c r="AS256">
        <v>300</v>
      </c>
      <c r="AT256" t="s">
        <v>148</v>
      </c>
      <c r="AU256">
        <v>600</v>
      </c>
      <c r="AV256" t="s">
        <v>148</v>
      </c>
      <c r="AW256">
        <v>900</v>
      </c>
      <c r="AX256" t="s">
        <v>148</v>
      </c>
      <c r="AY256" s="12">
        <v>130</v>
      </c>
      <c r="AZ256" t="s">
        <v>149</v>
      </c>
      <c r="BL256" s="12" t="s">
        <v>153</v>
      </c>
      <c r="BN256" s="12" t="s">
        <v>154</v>
      </c>
      <c r="BP256" s="12" t="s">
        <v>155</v>
      </c>
      <c r="BT256" s="12" t="s">
        <v>604</v>
      </c>
      <c r="BV256" s="12" t="s">
        <v>743</v>
      </c>
      <c r="BY256" s="12" t="s">
        <v>155</v>
      </c>
      <c r="CA256" s="12" t="s">
        <v>218</v>
      </c>
      <c r="CD256" s="12">
        <v>200</v>
      </c>
      <c r="CE256" t="s">
        <v>148</v>
      </c>
      <c r="CH256" s="15" t="s">
        <v>577</v>
      </c>
      <c r="CU256" s="12" t="s">
        <v>578</v>
      </c>
      <c r="DC256" s="12" t="b">
        <v>0</v>
      </c>
      <c r="DD256" s="12" t="s">
        <v>626</v>
      </c>
      <c r="DG256" s="12"/>
      <c r="DL256" t="s">
        <v>629</v>
      </c>
      <c r="DP256" s="12">
        <v>3</v>
      </c>
      <c r="DV256">
        <f t="shared" si="168"/>
        <v>1</v>
      </c>
    </row>
    <row r="257" spans="1:131" ht="330" hidden="1" x14ac:dyDescent="0.25">
      <c r="A257" t="s">
        <v>753</v>
      </c>
      <c r="B257" t="s">
        <v>732</v>
      </c>
      <c r="C257" t="s">
        <v>733</v>
      </c>
      <c r="D257" t="s">
        <v>749</v>
      </c>
      <c r="E257" t="s">
        <v>750</v>
      </c>
      <c r="F257" t="s">
        <v>736</v>
      </c>
      <c r="G257" t="s">
        <v>618</v>
      </c>
      <c r="H257" t="s">
        <v>612</v>
      </c>
      <c r="I257" t="s">
        <v>613</v>
      </c>
      <c r="L257" s="11" t="s">
        <v>745</v>
      </c>
      <c r="M257" t="s">
        <v>137</v>
      </c>
      <c r="N257" t="b">
        <v>0</v>
      </c>
      <c r="CA257" s="12" t="s">
        <v>218</v>
      </c>
      <c r="DV257">
        <f t="shared" si="168"/>
        <v>1</v>
      </c>
    </row>
    <row r="258" spans="1:131" hidden="1" x14ac:dyDescent="0.25">
      <c r="A258" t="s">
        <v>754</v>
      </c>
      <c r="B258" t="s">
        <v>732</v>
      </c>
      <c r="C258" t="s">
        <v>733</v>
      </c>
      <c r="D258" t="s">
        <v>749</v>
      </c>
      <c r="E258" t="s">
        <v>750</v>
      </c>
      <c r="F258" t="s">
        <v>134</v>
      </c>
      <c r="G258" t="s">
        <v>201</v>
      </c>
      <c r="H258" t="s">
        <v>202</v>
      </c>
      <c r="I258" t="s">
        <v>201</v>
      </c>
      <c r="L258" t="s">
        <v>553</v>
      </c>
      <c r="M258" t="s">
        <v>137</v>
      </c>
      <c r="N258" t="b">
        <v>0</v>
      </c>
      <c r="P258" s="12"/>
      <c r="Q258" s="12"/>
      <c r="T258" t="s">
        <v>203</v>
      </c>
      <c r="X258" s="12">
        <v>5800</v>
      </c>
      <c r="Y258" s="12">
        <v>750</v>
      </c>
      <c r="Z258" s="12">
        <v>1500</v>
      </c>
      <c r="AA258" s="12" t="s">
        <v>169</v>
      </c>
      <c r="AB258">
        <f t="shared" ref="AB258:AB259" si="169">25*5</f>
        <v>125</v>
      </c>
      <c r="AC258" t="s">
        <v>148</v>
      </c>
      <c r="AE258" s="12" t="s">
        <v>144</v>
      </c>
      <c r="AF258" s="12" t="s">
        <v>171</v>
      </c>
      <c r="AI258" s="12" t="s">
        <v>206</v>
      </c>
      <c r="AJ258" s="12" t="s">
        <v>207</v>
      </c>
      <c r="AK258" s="12" t="s">
        <v>208</v>
      </c>
      <c r="AL258" s="12" t="s">
        <v>174</v>
      </c>
      <c r="AM258" s="12">
        <v>35</v>
      </c>
      <c r="AN258" t="s">
        <v>175</v>
      </c>
      <c r="AO258" s="12">
        <v>2</v>
      </c>
      <c r="AP258" t="s">
        <v>176</v>
      </c>
      <c r="AQ258" s="12" t="b">
        <v>1</v>
      </c>
      <c r="AR258" s="12" t="str">
        <f>HYPERLINK("https://www.google.com/search?q=Siemens","Siemens")</f>
        <v>Siemens</v>
      </c>
      <c r="BR258" s="12" t="s">
        <v>155</v>
      </c>
      <c r="BV258" s="12" t="s">
        <v>210</v>
      </c>
      <c r="CF258" s="12" t="s">
        <v>268</v>
      </c>
      <c r="CS258" s="12" t="s">
        <v>181</v>
      </c>
      <c r="DA258" s="12">
        <v>2</v>
      </c>
      <c r="DF258" t="s">
        <v>178</v>
      </c>
      <c r="DN258" s="12" t="b">
        <v>1</v>
      </c>
      <c r="DQ258">
        <f t="shared" ref="DQ258:DQ259" si="170">IF(T258="Ball",10,0)</f>
        <v>10</v>
      </c>
      <c r="DR258">
        <f t="shared" ref="DR258:DR259" si="171">IF(AE258="125°F (51.7°C) - 150°F (65.6°C)",1,0.5)</f>
        <v>1</v>
      </c>
      <c r="DS258" cm="1">
        <f t="array" ref="DS258">IF(AF258="&lt;0.2 ips",1,O.5)</f>
        <v>1</v>
      </c>
      <c r="DT258">
        <v>0.2</v>
      </c>
      <c r="DU258">
        <v>0.4</v>
      </c>
      <c r="DV258">
        <v>1</v>
      </c>
      <c r="DW258">
        <v>0.9</v>
      </c>
      <c r="DX258">
        <f t="shared" ref="DX258:DX259" si="172">PRODUCT(DQ258:DV258)</f>
        <v>0.8</v>
      </c>
      <c r="DY258">
        <f t="shared" ref="DY258:DY259" si="173">+DX258*((14000000/(Z258*AB258^0.5))-4*AB258)</f>
        <v>267.8389692799372</v>
      </c>
      <c r="DZ258">
        <f t="shared" ref="DZ258:DZ259" si="174">+DY258/8760</f>
        <v>3.0575224803645801E-2</v>
      </c>
      <c r="EA258">
        <f t="shared" ref="EA258:EA259" si="175">ROUND(+DZ258*12,1)</f>
        <v>0.4</v>
      </c>
    </row>
    <row r="259" spans="1:131" hidden="1" x14ac:dyDescent="0.25">
      <c r="A259" t="s">
        <v>755</v>
      </c>
      <c r="B259" t="s">
        <v>732</v>
      </c>
      <c r="C259" t="s">
        <v>733</v>
      </c>
      <c r="D259" t="s">
        <v>749</v>
      </c>
      <c r="E259" t="s">
        <v>750</v>
      </c>
      <c r="F259" t="s">
        <v>134</v>
      </c>
      <c r="G259" t="s">
        <v>201</v>
      </c>
      <c r="H259" t="s">
        <v>212</v>
      </c>
      <c r="I259" t="s">
        <v>201</v>
      </c>
      <c r="L259" t="s">
        <v>553</v>
      </c>
      <c r="M259" t="s">
        <v>137</v>
      </c>
      <c r="N259" t="b">
        <v>0</v>
      </c>
      <c r="P259" s="12"/>
      <c r="Q259" s="12"/>
      <c r="T259" t="s">
        <v>203</v>
      </c>
      <c r="X259" s="12">
        <v>5800</v>
      </c>
      <c r="Y259" s="12">
        <v>750</v>
      </c>
      <c r="Z259" s="12">
        <v>1500</v>
      </c>
      <c r="AA259" s="12" t="s">
        <v>169</v>
      </c>
      <c r="AB259">
        <f t="shared" si="169"/>
        <v>125</v>
      </c>
      <c r="AC259" t="s">
        <v>148</v>
      </c>
      <c r="AE259" s="12" t="s">
        <v>144</v>
      </c>
      <c r="AF259" s="12" t="s">
        <v>171</v>
      </c>
      <c r="AI259" s="12" t="s">
        <v>206</v>
      </c>
      <c r="AJ259" s="12" t="s">
        <v>207</v>
      </c>
      <c r="AK259" s="12" t="s">
        <v>208</v>
      </c>
      <c r="AL259" s="12" t="s">
        <v>174</v>
      </c>
      <c r="AM259" s="12">
        <v>35</v>
      </c>
      <c r="AN259" t="s">
        <v>175</v>
      </c>
      <c r="AO259" s="12">
        <v>2</v>
      </c>
      <c r="AP259" t="s">
        <v>176</v>
      </c>
      <c r="AQ259" s="12" t="b">
        <v>1</v>
      </c>
      <c r="AR259" s="12" t="str">
        <f>HYPERLINK("https://www.google.com/search?q=Siemens","Siemens")</f>
        <v>Siemens</v>
      </c>
      <c r="BR259" s="12" t="s">
        <v>155</v>
      </c>
      <c r="BV259" s="12" t="s">
        <v>210</v>
      </c>
      <c r="CF259" s="12" t="s">
        <v>268</v>
      </c>
      <c r="CS259" s="12" t="s">
        <v>181</v>
      </c>
      <c r="DA259" s="12">
        <v>2</v>
      </c>
      <c r="DF259" t="s">
        <v>178</v>
      </c>
      <c r="DN259" s="12" t="b">
        <v>1</v>
      </c>
      <c r="DQ259">
        <f t="shared" si="170"/>
        <v>10</v>
      </c>
      <c r="DR259">
        <f t="shared" si="171"/>
        <v>1</v>
      </c>
      <c r="DS259" cm="1">
        <f t="array" ref="DS259">IF(AF259="&lt;0.2 ips",1,O.5)</f>
        <v>1</v>
      </c>
      <c r="DT259">
        <v>0.2</v>
      </c>
      <c r="DU259">
        <v>0.4</v>
      </c>
      <c r="DV259">
        <v>1</v>
      </c>
      <c r="DW259">
        <v>0.9</v>
      </c>
      <c r="DX259">
        <f t="shared" si="172"/>
        <v>0.8</v>
      </c>
      <c r="DY259">
        <f t="shared" si="173"/>
        <v>267.8389692799372</v>
      </c>
      <c r="DZ259">
        <f t="shared" si="174"/>
        <v>3.0575224803645801E-2</v>
      </c>
      <c r="EA259">
        <f t="shared" si="175"/>
        <v>0.4</v>
      </c>
    </row>
    <row r="260" spans="1:131" hidden="1" x14ac:dyDescent="0.25">
      <c r="A260" t="s">
        <v>756</v>
      </c>
      <c r="B260" t="s">
        <v>732</v>
      </c>
      <c r="C260" t="s">
        <v>733</v>
      </c>
      <c r="D260" t="s">
        <v>757</v>
      </c>
      <c r="E260" t="s">
        <v>758</v>
      </c>
      <c r="F260" t="s">
        <v>736</v>
      </c>
      <c r="G260" t="s">
        <v>618</v>
      </c>
      <c r="H260" t="s">
        <v>354</v>
      </c>
      <c r="I260" t="s">
        <v>355</v>
      </c>
      <c r="M260" t="s">
        <v>137</v>
      </c>
      <c r="N260" t="b">
        <v>0</v>
      </c>
      <c r="AR260" s="12" t="str">
        <f>HYPERLINK("https://www.google.com/search?q=","")</f>
        <v/>
      </c>
      <c r="CC260" s="12" t="b">
        <v>1</v>
      </c>
      <c r="CI260" s="12"/>
      <c r="CJ260" s="12" t="s">
        <v>609</v>
      </c>
      <c r="CK260" s="12" t="s">
        <v>610</v>
      </c>
      <c r="CL260" s="12"/>
      <c r="CM260" s="12"/>
      <c r="CN260" t="s">
        <v>356</v>
      </c>
      <c r="CO260" s="12" t="s">
        <v>620</v>
      </c>
      <c r="DD260" s="12" t="s">
        <v>155</v>
      </c>
      <c r="DG260" s="12" t="s">
        <v>737</v>
      </c>
      <c r="DV260">
        <f t="shared" ref="DV260:DV263" si="176">IF(AA262="Horizontal",1,0.5)</f>
        <v>0.5</v>
      </c>
    </row>
    <row r="261" spans="1:131" ht="180" hidden="1" x14ac:dyDescent="0.25">
      <c r="A261" t="s">
        <v>759</v>
      </c>
      <c r="B261" t="s">
        <v>732</v>
      </c>
      <c r="C261" t="s">
        <v>733</v>
      </c>
      <c r="D261" t="s">
        <v>757</v>
      </c>
      <c r="E261" t="s">
        <v>758</v>
      </c>
      <c r="F261" t="s">
        <v>736</v>
      </c>
      <c r="G261" t="s">
        <v>618</v>
      </c>
      <c r="H261" t="s">
        <v>166</v>
      </c>
      <c r="I261" t="s">
        <v>739</v>
      </c>
      <c r="L261" s="11" t="s">
        <v>740</v>
      </c>
      <c r="M261" t="s">
        <v>137</v>
      </c>
      <c r="N261" t="b">
        <v>0</v>
      </c>
      <c r="P261" s="12"/>
      <c r="Q261" s="12"/>
      <c r="Z261" s="12"/>
      <c r="AE261" s="12" t="s">
        <v>144</v>
      </c>
      <c r="AI261" s="12" t="s">
        <v>206</v>
      </c>
      <c r="AJ261" s="12" t="s">
        <v>207</v>
      </c>
      <c r="AK261" s="12" t="s">
        <v>208</v>
      </c>
      <c r="AR261" s="12" t="str">
        <f>HYPERLINK("https://www.google.com/search?q=HAZLETON","HAZLETON")</f>
        <v>HAZLETON</v>
      </c>
      <c r="BL261" s="16" t="s">
        <v>339</v>
      </c>
      <c r="BN261" s="12" t="s">
        <v>154</v>
      </c>
      <c r="CA261" s="12" t="s">
        <v>218</v>
      </c>
      <c r="DD261" t="s">
        <v>626</v>
      </c>
      <c r="DV261">
        <f t="shared" si="176"/>
        <v>0.5</v>
      </c>
    </row>
    <row r="262" spans="1:131" ht="300" hidden="1" x14ac:dyDescent="0.25">
      <c r="A262" t="s">
        <v>760</v>
      </c>
      <c r="B262" t="s">
        <v>732</v>
      </c>
      <c r="C262" t="s">
        <v>733</v>
      </c>
      <c r="D262" t="s">
        <v>757</v>
      </c>
      <c r="E262" t="s">
        <v>758</v>
      </c>
      <c r="F262" t="s">
        <v>736</v>
      </c>
      <c r="G262" t="s">
        <v>618</v>
      </c>
      <c r="H262" t="s">
        <v>359</v>
      </c>
      <c r="I262" t="s">
        <v>663</v>
      </c>
      <c r="L262" s="11" t="s">
        <v>742</v>
      </c>
      <c r="M262" t="s">
        <v>137</v>
      </c>
      <c r="N262" t="b">
        <v>0</v>
      </c>
      <c r="AI262" s="12" t="s">
        <v>206</v>
      </c>
      <c r="AJ262" s="12" t="s">
        <v>207</v>
      </c>
      <c r="AK262" s="12" t="s">
        <v>208</v>
      </c>
      <c r="AS262">
        <v>300</v>
      </c>
      <c r="AT262" t="s">
        <v>148</v>
      </c>
      <c r="AU262">
        <v>600</v>
      </c>
      <c r="AV262" t="s">
        <v>148</v>
      </c>
      <c r="AW262">
        <v>900</v>
      </c>
      <c r="AX262" t="s">
        <v>148</v>
      </c>
      <c r="AY262" s="12">
        <v>130</v>
      </c>
      <c r="AZ262" t="s">
        <v>149</v>
      </c>
      <c r="BL262" s="12" t="s">
        <v>153</v>
      </c>
      <c r="BN262" s="12" t="s">
        <v>154</v>
      </c>
      <c r="BP262" s="12" t="s">
        <v>155</v>
      </c>
      <c r="BT262" s="12" t="s">
        <v>604</v>
      </c>
      <c r="BV262" s="12" t="s">
        <v>743</v>
      </c>
      <c r="BY262" s="12" t="s">
        <v>155</v>
      </c>
      <c r="CA262" s="12" t="s">
        <v>218</v>
      </c>
      <c r="CD262" s="12">
        <v>200</v>
      </c>
      <c r="CE262" t="s">
        <v>148</v>
      </c>
      <c r="CH262" s="15" t="s">
        <v>577</v>
      </c>
      <c r="CU262" s="12" t="s">
        <v>578</v>
      </c>
      <c r="DC262" s="12" t="b">
        <v>0</v>
      </c>
      <c r="DD262" s="12" t="s">
        <v>626</v>
      </c>
      <c r="DG262" s="12"/>
      <c r="DL262" t="s">
        <v>629</v>
      </c>
      <c r="DP262" s="12">
        <v>3</v>
      </c>
      <c r="DV262">
        <f t="shared" si="176"/>
        <v>1</v>
      </c>
    </row>
    <row r="263" spans="1:131" ht="330" hidden="1" x14ac:dyDescent="0.25">
      <c r="A263" t="s">
        <v>761</v>
      </c>
      <c r="B263" t="s">
        <v>732</v>
      </c>
      <c r="C263" t="s">
        <v>733</v>
      </c>
      <c r="D263" t="s">
        <v>757</v>
      </c>
      <c r="E263" t="s">
        <v>758</v>
      </c>
      <c r="F263" t="s">
        <v>736</v>
      </c>
      <c r="G263" t="s">
        <v>618</v>
      </c>
      <c r="H263" t="s">
        <v>612</v>
      </c>
      <c r="I263" t="s">
        <v>613</v>
      </c>
      <c r="L263" s="11" t="s">
        <v>745</v>
      </c>
      <c r="M263" t="s">
        <v>137</v>
      </c>
      <c r="N263" t="b">
        <v>0</v>
      </c>
      <c r="CA263" s="12" t="s">
        <v>218</v>
      </c>
      <c r="DV263">
        <f t="shared" si="176"/>
        <v>1</v>
      </c>
    </row>
    <row r="264" spans="1:131" hidden="1" x14ac:dyDescent="0.25">
      <c r="A264" t="s">
        <v>762</v>
      </c>
      <c r="B264" t="s">
        <v>732</v>
      </c>
      <c r="C264" t="s">
        <v>733</v>
      </c>
      <c r="D264" t="s">
        <v>757</v>
      </c>
      <c r="E264" t="s">
        <v>758</v>
      </c>
      <c r="F264" t="s">
        <v>134</v>
      </c>
      <c r="G264" t="s">
        <v>201</v>
      </c>
      <c r="H264" t="s">
        <v>202</v>
      </c>
      <c r="I264" t="s">
        <v>201</v>
      </c>
      <c r="L264" t="s">
        <v>553</v>
      </c>
      <c r="M264" t="s">
        <v>137</v>
      </c>
      <c r="N264" t="b">
        <v>0</v>
      </c>
      <c r="P264" s="12"/>
      <c r="Q264" s="12"/>
      <c r="T264" t="s">
        <v>203</v>
      </c>
      <c r="X264" s="12">
        <v>5800</v>
      </c>
      <c r="Y264" s="12">
        <v>750</v>
      </c>
      <c r="Z264" s="12">
        <v>1500</v>
      </c>
      <c r="AA264" s="12" t="s">
        <v>169</v>
      </c>
      <c r="AB264">
        <f t="shared" ref="AB264:AB265" si="177">25*5</f>
        <v>125</v>
      </c>
      <c r="AC264" t="s">
        <v>148</v>
      </c>
      <c r="AE264" s="12" t="s">
        <v>144</v>
      </c>
      <c r="AF264" s="12" t="s">
        <v>171</v>
      </c>
      <c r="AI264" s="12" t="s">
        <v>206</v>
      </c>
      <c r="AJ264" s="12" t="s">
        <v>207</v>
      </c>
      <c r="AK264" s="12" t="s">
        <v>208</v>
      </c>
      <c r="AL264" s="12" t="s">
        <v>174</v>
      </c>
      <c r="AM264" s="12">
        <v>35</v>
      </c>
      <c r="AN264" t="s">
        <v>175</v>
      </c>
      <c r="AO264" s="12">
        <v>2</v>
      </c>
      <c r="AP264" t="s">
        <v>176</v>
      </c>
      <c r="AQ264" s="12" t="b">
        <v>1</v>
      </c>
      <c r="AR264" s="12" t="str">
        <f>HYPERLINK("https://www.google.com/search?q=Siemens","Siemens")</f>
        <v>Siemens</v>
      </c>
      <c r="BR264" s="12" t="s">
        <v>155</v>
      </c>
      <c r="BV264" s="12" t="s">
        <v>210</v>
      </c>
      <c r="CF264" s="12" t="s">
        <v>268</v>
      </c>
      <c r="CS264" s="12" t="s">
        <v>181</v>
      </c>
      <c r="DA264" s="12">
        <v>2</v>
      </c>
      <c r="DF264" t="s">
        <v>178</v>
      </c>
      <c r="DN264" s="12" t="b">
        <v>1</v>
      </c>
      <c r="DQ264">
        <f t="shared" ref="DQ264:DQ265" si="178">IF(T264="Ball",10,0)</f>
        <v>10</v>
      </c>
      <c r="DR264">
        <f t="shared" ref="DR264:DR265" si="179">IF(AE264="125°F (51.7°C) - 150°F (65.6°C)",1,0.5)</f>
        <v>1</v>
      </c>
      <c r="DS264" cm="1">
        <f t="array" ref="DS264">IF(AF264="&lt;0.2 ips",1,O.5)</f>
        <v>1</v>
      </c>
      <c r="DT264">
        <v>0.2</v>
      </c>
      <c r="DU264">
        <v>0.4</v>
      </c>
      <c r="DV264">
        <v>1</v>
      </c>
      <c r="DW264">
        <v>0.9</v>
      </c>
      <c r="DX264">
        <f t="shared" ref="DX264:DX265" si="180">PRODUCT(DQ264:DV264)</f>
        <v>0.8</v>
      </c>
      <c r="DY264">
        <f t="shared" ref="DY264:DY265" si="181">+DX264*((14000000/(Z264*AB264^0.5))-4*AB264)</f>
        <v>267.8389692799372</v>
      </c>
      <c r="DZ264">
        <f t="shared" ref="DZ264:DZ265" si="182">+DY264/8760</f>
        <v>3.0575224803645801E-2</v>
      </c>
      <c r="EA264">
        <f t="shared" ref="EA264:EA265" si="183">ROUND(+DZ264*12,1)</f>
        <v>0.4</v>
      </c>
    </row>
    <row r="265" spans="1:131" hidden="1" x14ac:dyDescent="0.25">
      <c r="A265" t="s">
        <v>763</v>
      </c>
      <c r="B265" t="s">
        <v>732</v>
      </c>
      <c r="C265" t="s">
        <v>733</v>
      </c>
      <c r="D265" t="s">
        <v>757</v>
      </c>
      <c r="E265" t="s">
        <v>758</v>
      </c>
      <c r="F265" t="s">
        <v>134</v>
      </c>
      <c r="G265" t="s">
        <v>201</v>
      </c>
      <c r="H265" t="s">
        <v>212</v>
      </c>
      <c r="I265" t="s">
        <v>201</v>
      </c>
      <c r="L265" t="s">
        <v>553</v>
      </c>
      <c r="M265" t="s">
        <v>137</v>
      </c>
      <c r="N265" t="b">
        <v>0</v>
      </c>
      <c r="P265" s="12"/>
      <c r="Q265" s="12"/>
      <c r="T265" t="s">
        <v>203</v>
      </c>
      <c r="X265" s="12">
        <v>5800</v>
      </c>
      <c r="Y265" s="12">
        <v>750</v>
      </c>
      <c r="Z265" s="12">
        <v>1500</v>
      </c>
      <c r="AA265" s="12" t="s">
        <v>169</v>
      </c>
      <c r="AB265">
        <f t="shared" si="177"/>
        <v>125</v>
      </c>
      <c r="AC265" t="s">
        <v>148</v>
      </c>
      <c r="AE265" s="12" t="s">
        <v>144</v>
      </c>
      <c r="AF265" s="12" t="s">
        <v>171</v>
      </c>
      <c r="AI265" s="12" t="s">
        <v>206</v>
      </c>
      <c r="AJ265" s="12" t="s">
        <v>207</v>
      </c>
      <c r="AK265" s="12" t="s">
        <v>208</v>
      </c>
      <c r="AL265" s="12" t="s">
        <v>174</v>
      </c>
      <c r="AM265" s="12">
        <v>35</v>
      </c>
      <c r="AN265" t="s">
        <v>175</v>
      </c>
      <c r="AO265" s="12">
        <v>2</v>
      </c>
      <c r="AP265" t="s">
        <v>176</v>
      </c>
      <c r="AQ265" s="12" t="b">
        <v>1</v>
      </c>
      <c r="AR265" s="12" t="str">
        <f>HYPERLINK("https://www.google.com/search?q=Siemens","Siemens")</f>
        <v>Siemens</v>
      </c>
      <c r="BR265" s="12" t="s">
        <v>155</v>
      </c>
      <c r="BV265" s="12" t="s">
        <v>210</v>
      </c>
      <c r="CF265" s="12" t="s">
        <v>268</v>
      </c>
      <c r="CS265" s="12" t="s">
        <v>181</v>
      </c>
      <c r="DA265" s="12">
        <v>2</v>
      </c>
      <c r="DF265" t="s">
        <v>178</v>
      </c>
      <c r="DN265" s="12" t="b">
        <v>1</v>
      </c>
      <c r="DQ265">
        <f t="shared" si="178"/>
        <v>10</v>
      </c>
      <c r="DR265">
        <f t="shared" si="179"/>
        <v>1</v>
      </c>
      <c r="DS265" cm="1">
        <f t="array" ref="DS265">IF(AF265="&lt;0.2 ips",1,O.5)</f>
        <v>1</v>
      </c>
      <c r="DT265">
        <v>0.2</v>
      </c>
      <c r="DU265">
        <v>0.4</v>
      </c>
      <c r="DV265">
        <v>1</v>
      </c>
      <c r="DW265">
        <v>0.9</v>
      </c>
      <c r="DX265">
        <f t="shared" si="180"/>
        <v>0.8</v>
      </c>
      <c r="DY265">
        <f t="shared" si="181"/>
        <v>267.8389692799372</v>
      </c>
      <c r="DZ265">
        <f t="shared" si="182"/>
        <v>3.0575224803645801E-2</v>
      </c>
      <c r="EA265">
        <f t="shared" si="183"/>
        <v>0.4</v>
      </c>
    </row>
    <row r="266" spans="1:131" hidden="1" x14ac:dyDescent="0.25">
      <c r="A266" t="s">
        <v>764</v>
      </c>
      <c r="B266" t="s">
        <v>732</v>
      </c>
      <c r="C266" t="s">
        <v>733</v>
      </c>
      <c r="D266" t="s">
        <v>765</v>
      </c>
      <c r="E266" t="s">
        <v>766</v>
      </c>
      <c r="F266" t="s">
        <v>736</v>
      </c>
      <c r="G266" t="s">
        <v>618</v>
      </c>
      <c r="H266" t="s">
        <v>354</v>
      </c>
      <c r="I266" t="s">
        <v>355</v>
      </c>
      <c r="M266" t="s">
        <v>137</v>
      </c>
      <c r="N266" t="b">
        <v>0</v>
      </c>
      <c r="AR266" s="12" t="str">
        <f>HYPERLINK("https://www.google.com/search?q=","")</f>
        <v/>
      </c>
      <c r="CC266" s="12" t="b">
        <v>1</v>
      </c>
      <c r="CI266" s="12"/>
      <c r="CJ266" s="12" t="s">
        <v>609</v>
      </c>
      <c r="CK266" s="12" t="s">
        <v>610</v>
      </c>
      <c r="CL266" s="12"/>
      <c r="CM266" s="12"/>
      <c r="CN266" t="s">
        <v>356</v>
      </c>
      <c r="CO266" s="12" t="s">
        <v>620</v>
      </c>
      <c r="DD266" s="12" t="s">
        <v>155</v>
      </c>
      <c r="DG266" s="12" t="s">
        <v>737</v>
      </c>
      <c r="DV266">
        <f t="shared" ref="DV266:DV269" si="184">IF(AA268="Horizontal",1,0.5)</f>
        <v>0.5</v>
      </c>
    </row>
    <row r="267" spans="1:131" ht="180" hidden="1" x14ac:dyDescent="0.25">
      <c r="A267" t="s">
        <v>767</v>
      </c>
      <c r="B267" t="s">
        <v>732</v>
      </c>
      <c r="C267" t="s">
        <v>733</v>
      </c>
      <c r="D267" t="s">
        <v>765</v>
      </c>
      <c r="E267" t="s">
        <v>766</v>
      </c>
      <c r="F267" t="s">
        <v>736</v>
      </c>
      <c r="G267" t="s">
        <v>618</v>
      </c>
      <c r="H267" t="s">
        <v>166</v>
      </c>
      <c r="I267" t="s">
        <v>739</v>
      </c>
      <c r="L267" s="11" t="s">
        <v>740</v>
      </c>
      <c r="M267" t="s">
        <v>137</v>
      </c>
      <c r="N267" t="b">
        <v>0</v>
      </c>
      <c r="P267" s="12"/>
      <c r="Q267" s="12"/>
      <c r="Z267" s="12"/>
      <c r="AE267" s="12" t="s">
        <v>144</v>
      </c>
      <c r="AI267" s="12" t="s">
        <v>206</v>
      </c>
      <c r="AJ267" s="12" t="s">
        <v>207</v>
      </c>
      <c r="AK267" s="12" t="s">
        <v>208</v>
      </c>
      <c r="AR267" s="12" t="str">
        <f>HYPERLINK("https://www.google.com/search?q=HAZLETON","HAZLETON")</f>
        <v>HAZLETON</v>
      </c>
      <c r="BL267" s="16" t="s">
        <v>339</v>
      </c>
      <c r="BN267" s="12" t="s">
        <v>154</v>
      </c>
      <c r="CA267" s="12" t="s">
        <v>218</v>
      </c>
      <c r="DD267" t="s">
        <v>626</v>
      </c>
      <c r="DV267">
        <f t="shared" si="184"/>
        <v>0.5</v>
      </c>
    </row>
    <row r="268" spans="1:131" ht="240" hidden="1" x14ac:dyDescent="0.25">
      <c r="A268" t="s">
        <v>768</v>
      </c>
      <c r="B268" t="s">
        <v>732</v>
      </c>
      <c r="C268" t="s">
        <v>733</v>
      </c>
      <c r="D268" t="s">
        <v>765</v>
      </c>
      <c r="E268" t="s">
        <v>766</v>
      </c>
      <c r="F268" t="s">
        <v>736</v>
      </c>
      <c r="G268" t="s">
        <v>618</v>
      </c>
      <c r="H268" t="s">
        <v>359</v>
      </c>
      <c r="I268" t="s">
        <v>663</v>
      </c>
      <c r="L268" s="11" t="s">
        <v>769</v>
      </c>
      <c r="M268" t="s">
        <v>137</v>
      </c>
      <c r="N268" t="b">
        <v>0</v>
      </c>
      <c r="AI268" s="12" t="s">
        <v>206</v>
      </c>
      <c r="AJ268" s="12" t="s">
        <v>207</v>
      </c>
      <c r="AK268" s="12" t="s">
        <v>208</v>
      </c>
      <c r="AS268">
        <v>300</v>
      </c>
      <c r="AT268" t="s">
        <v>148</v>
      </c>
      <c r="AU268">
        <v>450</v>
      </c>
      <c r="AV268" t="s">
        <v>148</v>
      </c>
      <c r="AW268">
        <v>700</v>
      </c>
      <c r="AX268" t="s">
        <v>148</v>
      </c>
      <c r="AY268" s="12">
        <v>130</v>
      </c>
      <c r="AZ268" t="s">
        <v>149</v>
      </c>
      <c r="BL268" s="12" t="s">
        <v>153</v>
      </c>
      <c r="BN268" s="12" t="s">
        <v>154</v>
      </c>
      <c r="BP268" s="12" t="s">
        <v>155</v>
      </c>
      <c r="BT268" s="12" t="s">
        <v>604</v>
      </c>
      <c r="BV268" s="12" t="s">
        <v>743</v>
      </c>
      <c r="BY268" s="12" t="s">
        <v>155</v>
      </c>
      <c r="CA268" s="12" t="s">
        <v>218</v>
      </c>
      <c r="CD268" s="12">
        <v>200</v>
      </c>
      <c r="CE268" t="s">
        <v>148</v>
      </c>
      <c r="CH268" s="15" t="s">
        <v>577</v>
      </c>
      <c r="CU268" s="12" t="s">
        <v>578</v>
      </c>
      <c r="DC268" s="12" t="b">
        <v>0</v>
      </c>
      <c r="DD268" s="12" t="s">
        <v>626</v>
      </c>
      <c r="DG268" s="12"/>
      <c r="DL268" t="s">
        <v>629</v>
      </c>
      <c r="DP268" s="12">
        <v>3</v>
      </c>
      <c r="DV268">
        <f t="shared" si="184"/>
        <v>1</v>
      </c>
    </row>
    <row r="269" spans="1:131" ht="330" hidden="1" x14ac:dyDescent="0.25">
      <c r="A269" t="s">
        <v>770</v>
      </c>
      <c r="B269" t="s">
        <v>732</v>
      </c>
      <c r="C269" t="s">
        <v>733</v>
      </c>
      <c r="D269" t="s">
        <v>765</v>
      </c>
      <c r="E269" t="s">
        <v>766</v>
      </c>
      <c r="F269" t="s">
        <v>736</v>
      </c>
      <c r="G269" t="s">
        <v>618</v>
      </c>
      <c r="H269" t="s">
        <v>612</v>
      </c>
      <c r="I269" t="s">
        <v>613</v>
      </c>
      <c r="L269" s="11" t="s">
        <v>745</v>
      </c>
      <c r="M269" t="s">
        <v>137</v>
      </c>
      <c r="N269" t="b">
        <v>0</v>
      </c>
      <c r="CA269" s="12" t="s">
        <v>218</v>
      </c>
      <c r="DV269">
        <f t="shared" si="184"/>
        <v>1</v>
      </c>
    </row>
    <row r="270" spans="1:131" ht="90" hidden="1" x14ac:dyDescent="0.25">
      <c r="A270" t="s">
        <v>771</v>
      </c>
      <c r="B270" t="s">
        <v>732</v>
      </c>
      <c r="C270" t="s">
        <v>733</v>
      </c>
      <c r="D270" t="s">
        <v>765</v>
      </c>
      <c r="E270" t="s">
        <v>766</v>
      </c>
      <c r="F270" t="s">
        <v>134</v>
      </c>
      <c r="G270" t="s">
        <v>201</v>
      </c>
      <c r="H270" t="s">
        <v>772</v>
      </c>
      <c r="I270" t="s">
        <v>201</v>
      </c>
      <c r="L270" s="11" t="s">
        <v>773</v>
      </c>
      <c r="M270" t="s">
        <v>137</v>
      </c>
      <c r="N270" t="b">
        <v>0</v>
      </c>
      <c r="P270" s="12"/>
      <c r="Q270" s="12"/>
      <c r="T270" t="s">
        <v>203</v>
      </c>
      <c r="X270" s="12">
        <v>5800</v>
      </c>
      <c r="Y270" s="12">
        <v>660</v>
      </c>
      <c r="Z270" s="12">
        <v>1500</v>
      </c>
      <c r="AA270" s="12" t="s">
        <v>169</v>
      </c>
      <c r="AB270">
        <f t="shared" ref="AB270:AB272" si="185">25*5</f>
        <v>125</v>
      </c>
      <c r="AC270" t="s">
        <v>148</v>
      </c>
      <c r="AE270" s="12" t="s">
        <v>144</v>
      </c>
      <c r="AF270" s="12" t="s">
        <v>171</v>
      </c>
      <c r="AI270" s="12" t="s">
        <v>206</v>
      </c>
      <c r="AJ270" s="12" t="s">
        <v>207</v>
      </c>
      <c r="AK270" s="12" t="s">
        <v>208</v>
      </c>
      <c r="AL270" s="12" t="s">
        <v>174</v>
      </c>
      <c r="AM270" s="12">
        <v>35</v>
      </c>
      <c r="AN270" t="s">
        <v>175</v>
      </c>
      <c r="AO270" s="12">
        <v>2</v>
      </c>
      <c r="AP270" t="s">
        <v>176</v>
      </c>
      <c r="AQ270" s="12" t="b">
        <v>1</v>
      </c>
      <c r="AR270" s="12" t="str">
        <f>HYPERLINK("https://www.google.com/search?q=Siemens","Siemens")</f>
        <v>Siemens</v>
      </c>
      <c r="BR270" s="12" t="s">
        <v>155</v>
      </c>
      <c r="BV270" s="12" t="s">
        <v>210</v>
      </c>
      <c r="CF270" s="12" t="s">
        <v>187</v>
      </c>
      <c r="CS270" s="12" t="s">
        <v>181</v>
      </c>
      <c r="DA270" s="12">
        <v>2</v>
      </c>
      <c r="DN270" s="12" t="b">
        <v>1</v>
      </c>
      <c r="DQ270">
        <f t="shared" ref="DQ270:DQ272" si="186">IF(T270="Ball",10,0)</f>
        <v>10</v>
      </c>
      <c r="DR270">
        <f t="shared" ref="DR270:DR272" si="187">IF(AE270="125°F (51.7°C) - 150°F (65.6°C)",1,0.5)</f>
        <v>1</v>
      </c>
      <c r="DS270" cm="1">
        <f t="array" ref="DS270">IF(AF270="&lt;0.2 ips",1,O.5)</f>
        <v>1</v>
      </c>
      <c r="DT270">
        <v>0.2</v>
      </c>
      <c r="DU270">
        <v>0.4</v>
      </c>
      <c r="DV270">
        <v>1</v>
      </c>
      <c r="DW270">
        <v>0.9</v>
      </c>
      <c r="DX270">
        <f t="shared" ref="DX270:DX272" si="188">PRODUCT(DQ270:DV270)</f>
        <v>0.8</v>
      </c>
      <c r="DY270">
        <f t="shared" ref="DY270:DY272" si="189">+DX270*((14000000/(Z270*AB270^0.5))-4*AB270)</f>
        <v>267.8389692799372</v>
      </c>
      <c r="DZ270">
        <f t="shared" ref="DZ270:DZ272" si="190">+DY270/8760</f>
        <v>3.0575224803645801E-2</v>
      </c>
      <c r="EA270">
        <f t="shared" ref="EA270:EA272" si="191">ROUND(+DZ270*12,1)</f>
        <v>0.4</v>
      </c>
    </row>
    <row r="271" spans="1:131" ht="90" hidden="1" x14ac:dyDescent="0.25">
      <c r="A271" t="s">
        <v>774</v>
      </c>
      <c r="B271" t="s">
        <v>732</v>
      </c>
      <c r="C271" t="s">
        <v>733</v>
      </c>
      <c r="D271" t="s">
        <v>765</v>
      </c>
      <c r="E271" t="s">
        <v>766</v>
      </c>
      <c r="F271" t="s">
        <v>134</v>
      </c>
      <c r="G271" t="s">
        <v>201</v>
      </c>
      <c r="H271" t="s">
        <v>775</v>
      </c>
      <c r="I271" t="s">
        <v>201</v>
      </c>
      <c r="L271" s="11" t="s">
        <v>773</v>
      </c>
      <c r="M271" t="s">
        <v>137</v>
      </c>
      <c r="N271" t="b">
        <v>0</v>
      </c>
      <c r="P271" s="12"/>
      <c r="Q271" s="12"/>
      <c r="T271" t="s">
        <v>203</v>
      </c>
      <c r="X271" s="12">
        <v>5800</v>
      </c>
      <c r="Y271" s="12">
        <v>660</v>
      </c>
      <c r="Z271" s="12">
        <v>1500</v>
      </c>
      <c r="AA271" s="12" t="s">
        <v>169</v>
      </c>
      <c r="AB271">
        <f t="shared" si="185"/>
        <v>125</v>
      </c>
      <c r="AC271" t="s">
        <v>148</v>
      </c>
      <c r="AE271" s="12" t="s">
        <v>144</v>
      </c>
      <c r="AF271" s="12" t="s">
        <v>171</v>
      </c>
      <c r="AI271" s="12" t="s">
        <v>206</v>
      </c>
      <c r="AJ271" s="12" t="s">
        <v>207</v>
      </c>
      <c r="AK271" s="12" t="s">
        <v>208</v>
      </c>
      <c r="AL271" s="12" t="s">
        <v>174</v>
      </c>
      <c r="AM271" s="12">
        <v>35</v>
      </c>
      <c r="AN271" t="s">
        <v>175</v>
      </c>
      <c r="AO271" s="12">
        <v>2</v>
      </c>
      <c r="AP271" t="s">
        <v>176</v>
      </c>
      <c r="AQ271" s="12" t="b">
        <v>1</v>
      </c>
      <c r="AR271" s="12" t="str">
        <f>HYPERLINK("https://www.google.com/search?q=Siemens","Siemens")</f>
        <v>Siemens</v>
      </c>
      <c r="BR271" s="12" t="s">
        <v>155</v>
      </c>
      <c r="BV271" s="12" t="s">
        <v>210</v>
      </c>
      <c r="CF271" s="12" t="s">
        <v>187</v>
      </c>
      <c r="CS271" s="12" t="s">
        <v>181</v>
      </c>
      <c r="DA271" s="12">
        <v>2</v>
      </c>
      <c r="DN271" s="12" t="b">
        <v>1</v>
      </c>
      <c r="DQ271">
        <f t="shared" si="186"/>
        <v>10</v>
      </c>
      <c r="DR271">
        <f t="shared" si="187"/>
        <v>1</v>
      </c>
      <c r="DS271" cm="1">
        <f t="array" ref="DS271">IF(AF271="&lt;0.2 ips",1,O.5)</f>
        <v>1</v>
      </c>
      <c r="DT271">
        <v>0.2</v>
      </c>
      <c r="DU271">
        <v>0.4</v>
      </c>
      <c r="DV271">
        <v>1</v>
      </c>
      <c r="DW271">
        <v>0.9</v>
      </c>
      <c r="DX271">
        <f t="shared" si="188"/>
        <v>0.8</v>
      </c>
      <c r="DY271">
        <f t="shared" si="189"/>
        <v>267.8389692799372</v>
      </c>
      <c r="DZ271">
        <f t="shared" si="190"/>
        <v>3.0575224803645801E-2</v>
      </c>
      <c r="EA271">
        <f t="shared" si="191"/>
        <v>0.4</v>
      </c>
    </row>
    <row r="272" spans="1:131" ht="90" hidden="1" x14ac:dyDescent="0.25">
      <c r="A272" t="s">
        <v>776</v>
      </c>
      <c r="B272" t="s">
        <v>732</v>
      </c>
      <c r="C272" t="s">
        <v>733</v>
      </c>
      <c r="D272" t="s">
        <v>765</v>
      </c>
      <c r="E272" t="s">
        <v>766</v>
      </c>
      <c r="F272" t="s">
        <v>134</v>
      </c>
      <c r="G272" t="s">
        <v>201</v>
      </c>
      <c r="H272" t="s">
        <v>212</v>
      </c>
      <c r="I272" t="s">
        <v>201</v>
      </c>
      <c r="L272" s="11" t="s">
        <v>773</v>
      </c>
      <c r="M272" t="s">
        <v>137</v>
      </c>
      <c r="N272" t="b">
        <v>0</v>
      </c>
      <c r="P272" s="12"/>
      <c r="Q272" s="12"/>
      <c r="T272" t="s">
        <v>203</v>
      </c>
      <c r="X272" s="12">
        <v>5800</v>
      </c>
      <c r="Y272" s="12">
        <v>660</v>
      </c>
      <c r="Z272" s="12">
        <v>1500</v>
      </c>
      <c r="AA272" s="12" t="s">
        <v>169</v>
      </c>
      <c r="AB272">
        <f t="shared" si="185"/>
        <v>125</v>
      </c>
      <c r="AC272" t="s">
        <v>148</v>
      </c>
      <c r="AE272" s="12" t="s">
        <v>144</v>
      </c>
      <c r="AF272" s="12" t="s">
        <v>171</v>
      </c>
      <c r="AI272" s="12" t="s">
        <v>206</v>
      </c>
      <c r="AJ272" s="12" t="s">
        <v>207</v>
      </c>
      <c r="AK272" s="12" t="s">
        <v>208</v>
      </c>
      <c r="AL272" s="12" t="s">
        <v>174</v>
      </c>
      <c r="AM272" s="12">
        <v>35</v>
      </c>
      <c r="AN272" t="s">
        <v>175</v>
      </c>
      <c r="AO272" s="12">
        <v>2</v>
      </c>
      <c r="AP272" t="s">
        <v>176</v>
      </c>
      <c r="AQ272" s="12" t="b">
        <v>1</v>
      </c>
      <c r="AR272" s="12" t="str">
        <f>HYPERLINK("https://www.google.com/search?q=Siemens","Siemens")</f>
        <v>Siemens</v>
      </c>
      <c r="BR272" s="12" t="s">
        <v>155</v>
      </c>
      <c r="BV272" s="12" t="s">
        <v>210</v>
      </c>
      <c r="CF272" s="12" t="s">
        <v>187</v>
      </c>
      <c r="CS272" s="12" t="s">
        <v>181</v>
      </c>
      <c r="DA272" s="12">
        <v>2</v>
      </c>
      <c r="DN272" s="12" t="b">
        <v>1</v>
      </c>
      <c r="DQ272">
        <f t="shared" si="186"/>
        <v>10</v>
      </c>
      <c r="DR272">
        <f t="shared" si="187"/>
        <v>1</v>
      </c>
      <c r="DS272" cm="1">
        <f t="array" ref="DS272">IF(AF272="&lt;0.2 ips",1,O.5)</f>
        <v>1</v>
      </c>
      <c r="DT272">
        <v>0.2</v>
      </c>
      <c r="DU272">
        <v>0.4</v>
      </c>
      <c r="DV272">
        <v>1</v>
      </c>
      <c r="DW272">
        <v>0.9</v>
      </c>
      <c r="DX272">
        <f t="shared" si="188"/>
        <v>0.8</v>
      </c>
      <c r="DY272">
        <f t="shared" si="189"/>
        <v>267.8389692799372</v>
      </c>
      <c r="DZ272">
        <f t="shared" si="190"/>
        <v>3.0575224803645801E-2</v>
      </c>
      <c r="EA272">
        <f t="shared" si="191"/>
        <v>0.4</v>
      </c>
    </row>
    <row r="273" spans="1:131" ht="120" hidden="1" x14ac:dyDescent="0.25">
      <c r="A273" t="s">
        <v>777</v>
      </c>
      <c r="B273" t="s">
        <v>732</v>
      </c>
      <c r="C273" t="s">
        <v>733</v>
      </c>
      <c r="D273" t="s">
        <v>765</v>
      </c>
      <c r="E273" t="s">
        <v>766</v>
      </c>
      <c r="F273" t="s">
        <v>778</v>
      </c>
      <c r="G273" t="s">
        <v>192</v>
      </c>
      <c r="H273" t="s">
        <v>141</v>
      </c>
      <c r="I273" t="s">
        <v>142</v>
      </c>
      <c r="L273" s="11" t="s">
        <v>779</v>
      </c>
      <c r="M273" t="s">
        <v>137</v>
      </c>
      <c r="N273" t="b">
        <v>0</v>
      </c>
      <c r="Y273" s="12"/>
      <c r="AE273" s="12" t="s">
        <v>205</v>
      </c>
      <c r="AI273" s="12" t="s">
        <v>206</v>
      </c>
      <c r="AJ273" s="12" t="s">
        <v>207</v>
      </c>
      <c r="AK273" s="12" t="s">
        <v>208</v>
      </c>
      <c r="AR273" s="12" t="str">
        <f>HYPERLINK("https://www.google.com/search?q=","")</f>
        <v/>
      </c>
      <c r="AS273">
        <v>300</v>
      </c>
      <c r="AT273" t="s">
        <v>148</v>
      </c>
      <c r="AU273">
        <v>1250</v>
      </c>
      <c r="AV273" t="s">
        <v>148</v>
      </c>
      <c r="AW273">
        <v>1300</v>
      </c>
      <c r="AX273" t="s">
        <v>148</v>
      </c>
      <c r="AY273" s="12">
        <v>280</v>
      </c>
      <c r="AZ273" t="s">
        <v>149</v>
      </c>
      <c r="BF273" s="12" t="s">
        <v>780</v>
      </c>
      <c r="BH273" s="12" t="s">
        <v>458</v>
      </c>
      <c r="BI273" s="12" t="s">
        <v>152</v>
      </c>
      <c r="BL273" s="12" t="s">
        <v>412</v>
      </c>
      <c r="BN273" s="12" t="s">
        <v>154</v>
      </c>
      <c r="BP273" s="12" t="s">
        <v>155</v>
      </c>
      <c r="BT273" s="12" t="s">
        <v>781</v>
      </c>
      <c r="BV273" s="12" t="s">
        <v>573</v>
      </c>
      <c r="BY273" s="12" t="s">
        <v>155</v>
      </c>
      <c r="CA273" s="12" t="s">
        <v>218</v>
      </c>
      <c r="CD273" s="12">
        <v>250</v>
      </c>
      <c r="CE273" t="s">
        <v>148</v>
      </c>
      <c r="CH273" s="12" t="s">
        <v>159</v>
      </c>
      <c r="CU273" s="12" t="s">
        <v>412</v>
      </c>
      <c r="DC273" s="12" t="b">
        <v>0</v>
      </c>
      <c r="DD273" s="12" t="s">
        <v>626</v>
      </c>
      <c r="DG273" s="12" t="s">
        <v>459</v>
      </c>
      <c r="DV273">
        <f t="shared" ref="DV273:DV277" si="192">IF(AA275="Horizontal",1,0.5)</f>
        <v>0.5</v>
      </c>
    </row>
    <row r="274" spans="1:131" hidden="1" x14ac:dyDescent="0.25">
      <c r="A274" t="s">
        <v>782</v>
      </c>
      <c r="B274" t="s">
        <v>732</v>
      </c>
      <c r="C274" t="s">
        <v>733</v>
      </c>
      <c r="D274" t="s">
        <v>783</v>
      </c>
      <c r="E274" t="s">
        <v>784</v>
      </c>
      <c r="F274" t="s">
        <v>736</v>
      </c>
      <c r="G274" t="s">
        <v>618</v>
      </c>
      <c r="H274" t="s">
        <v>354</v>
      </c>
      <c r="I274" t="s">
        <v>355</v>
      </c>
      <c r="M274" t="s">
        <v>137</v>
      </c>
      <c r="N274" t="b">
        <v>0</v>
      </c>
      <c r="AR274" s="12" t="str">
        <f>HYPERLINK("https://www.google.com/search?q=","")</f>
        <v/>
      </c>
      <c r="CC274" s="12" t="b">
        <v>1</v>
      </c>
      <c r="CI274" s="12"/>
      <c r="CJ274" s="12" t="s">
        <v>609</v>
      </c>
      <c r="CK274" s="12" t="s">
        <v>610</v>
      </c>
      <c r="CL274" s="12"/>
      <c r="CM274" s="12"/>
      <c r="CN274" t="s">
        <v>356</v>
      </c>
      <c r="CO274" s="12" t="s">
        <v>620</v>
      </c>
      <c r="DD274" s="12" t="s">
        <v>155</v>
      </c>
      <c r="DG274" s="12" t="s">
        <v>737</v>
      </c>
      <c r="DV274">
        <f t="shared" si="192"/>
        <v>0.5</v>
      </c>
    </row>
    <row r="275" spans="1:131" ht="180" hidden="1" x14ac:dyDescent="0.25">
      <c r="A275" t="s">
        <v>785</v>
      </c>
      <c r="B275" t="s">
        <v>732</v>
      </c>
      <c r="C275" t="s">
        <v>733</v>
      </c>
      <c r="D275" t="s">
        <v>783</v>
      </c>
      <c r="E275" t="s">
        <v>784</v>
      </c>
      <c r="F275" t="s">
        <v>736</v>
      </c>
      <c r="G275" t="s">
        <v>618</v>
      </c>
      <c r="H275" t="s">
        <v>166</v>
      </c>
      <c r="I275" t="s">
        <v>739</v>
      </c>
      <c r="L275" s="11" t="s">
        <v>740</v>
      </c>
      <c r="M275" t="s">
        <v>137</v>
      </c>
      <c r="N275" t="b">
        <v>0</v>
      </c>
      <c r="P275" s="12"/>
      <c r="Q275" s="12"/>
      <c r="Z275" s="12"/>
      <c r="AE275" s="12" t="s">
        <v>144</v>
      </c>
      <c r="AI275" s="12" t="s">
        <v>206</v>
      </c>
      <c r="AJ275" s="12" t="s">
        <v>207</v>
      </c>
      <c r="AK275" s="12" t="s">
        <v>208</v>
      </c>
      <c r="AR275" s="12" t="str">
        <f>HYPERLINK("https://www.google.com/search?q=HAZLETON","HAZLETON")</f>
        <v>HAZLETON</v>
      </c>
      <c r="BL275" s="16" t="s">
        <v>339</v>
      </c>
      <c r="BN275" s="12" t="s">
        <v>154</v>
      </c>
      <c r="CA275" s="12" t="s">
        <v>218</v>
      </c>
      <c r="DD275" t="s">
        <v>626</v>
      </c>
      <c r="DV275">
        <f t="shared" si="192"/>
        <v>0.5</v>
      </c>
    </row>
    <row r="276" spans="1:131" ht="240" hidden="1" x14ac:dyDescent="0.25">
      <c r="A276" t="s">
        <v>786</v>
      </c>
      <c r="B276" t="s">
        <v>732</v>
      </c>
      <c r="C276" t="s">
        <v>733</v>
      </c>
      <c r="D276" t="s">
        <v>783</v>
      </c>
      <c r="E276" t="s">
        <v>784</v>
      </c>
      <c r="F276" t="s">
        <v>736</v>
      </c>
      <c r="G276" t="s">
        <v>618</v>
      </c>
      <c r="H276" t="s">
        <v>359</v>
      </c>
      <c r="I276" t="s">
        <v>663</v>
      </c>
      <c r="L276" s="11" t="s">
        <v>769</v>
      </c>
      <c r="M276" t="s">
        <v>137</v>
      </c>
      <c r="N276" t="b">
        <v>0</v>
      </c>
      <c r="AI276" s="12" t="s">
        <v>206</v>
      </c>
      <c r="AJ276" s="12" t="s">
        <v>207</v>
      </c>
      <c r="AK276" s="12" t="s">
        <v>208</v>
      </c>
      <c r="AS276">
        <v>300</v>
      </c>
      <c r="AT276" t="s">
        <v>148</v>
      </c>
      <c r="AU276">
        <v>450</v>
      </c>
      <c r="AV276" t="s">
        <v>148</v>
      </c>
      <c r="AW276">
        <v>700</v>
      </c>
      <c r="AX276" t="s">
        <v>148</v>
      </c>
      <c r="AY276" s="12">
        <v>130</v>
      </c>
      <c r="AZ276" t="s">
        <v>149</v>
      </c>
      <c r="BL276" s="12" t="s">
        <v>153</v>
      </c>
      <c r="BN276" s="12" t="s">
        <v>154</v>
      </c>
      <c r="BP276" s="12" t="s">
        <v>155</v>
      </c>
      <c r="BT276" s="12" t="s">
        <v>604</v>
      </c>
      <c r="BV276" s="12" t="s">
        <v>743</v>
      </c>
      <c r="BY276" s="12" t="s">
        <v>155</v>
      </c>
      <c r="CA276" s="12" t="s">
        <v>218</v>
      </c>
      <c r="CD276" s="12">
        <v>200</v>
      </c>
      <c r="CE276" t="s">
        <v>148</v>
      </c>
      <c r="CH276" s="15" t="s">
        <v>577</v>
      </c>
      <c r="CU276" s="12" t="s">
        <v>578</v>
      </c>
      <c r="DC276" s="12" t="b">
        <v>0</v>
      </c>
      <c r="DD276" s="12" t="s">
        <v>626</v>
      </c>
      <c r="DG276" s="12"/>
      <c r="DL276" t="s">
        <v>629</v>
      </c>
      <c r="DP276" s="12">
        <v>3</v>
      </c>
      <c r="DV276">
        <f t="shared" si="192"/>
        <v>1</v>
      </c>
    </row>
    <row r="277" spans="1:131" ht="330" hidden="1" x14ac:dyDescent="0.25">
      <c r="A277" t="s">
        <v>787</v>
      </c>
      <c r="B277" t="s">
        <v>732</v>
      </c>
      <c r="C277" t="s">
        <v>733</v>
      </c>
      <c r="D277" t="s">
        <v>783</v>
      </c>
      <c r="E277" t="s">
        <v>784</v>
      </c>
      <c r="F277" t="s">
        <v>736</v>
      </c>
      <c r="G277" t="s">
        <v>618</v>
      </c>
      <c r="H277" t="s">
        <v>612</v>
      </c>
      <c r="I277" t="s">
        <v>613</v>
      </c>
      <c r="L277" s="11" t="s">
        <v>745</v>
      </c>
      <c r="M277" t="s">
        <v>137</v>
      </c>
      <c r="N277" t="b">
        <v>0</v>
      </c>
      <c r="CA277" s="12" t="s">
        <v>218</v>
      </c>
      <c r="DV277">
        <f t="shared" si="192"/>
        <v>1</v>
      </c>
    </row>
    <row r="278" spans="1:131" ht="90" hidden="1" x14ac:dyDescent="0.25">
      <c r="A278" t="s">
        <v>788</v>
      </c>
      <c r="B278" t="s">
        <v>732</v>
      </c>
      <c r="C278" t="s">
        <v>733</v>
      </c>
      <c r="D278" t="s">
        <v>783</v>
      </c>
      <c r="E278" t="s">
        <v>784</v>
      </c>
      <c r="F278" t="s">
        <v>134</v>
      </c>
      <c r="G278" t="s">
        <v>201</v>
      </c>
      <c r="H278" t="s">
        <v>772</v>
      </c>
      <c r="I278" t="s">
        <v>201</v>
      </c>
      <c r="L278" s="11" t="s">
        <v>773</v>
      </c>
      <c r="M278" t="s">
        <v>137</v>
      </c>
      <c r="N278" t="b">
        <v>0</v>
      </c>
      <c r="P278" s="12"/>
      <c r="Q278" s="12"/>
      <c r="T278" t="s">
        <v>203</v>
      </c>
      <c r="X278" s="12">
        <v>5800</v>
      </c>
      <c r="Y278" s="12">
        <v>660</v>
      </c>
      <c r="Z278" s="12">
        <v>1500</v>
      </c>
      <c r="AA278" s="12" t="s">
        <v>169</v>
      </c>
      <c r="AB278">
        <f t="shared" ref="AB278:AB280" si="193">25*5</f>
        <v>125</v>
      </c>
      <c r="AC278" t="s">
        <v>148</v>
      </c>
      <c r="AE278" s="12" t="s">
        <v>144</v>
      </c>
      <c r="AF278" s="12" t="s">
        <v>171</v>
      </c>
      <c r="AI278" s="12" t="s">
        <v>206</v>
      </c>
      <c r="AJ278" s="12" t="s">
        <v>207</v>
      </c>
      <c r="AK278" s="12" t="s">
        <v>208</v>
      </c>
      <c r="AL278" s="12" t="s">
        <v>174</v>
      </c>
      <c r="AM278" s="12">
        <v>35</v>
      </c>
      <c r="AN278" t="s">
        <v>175</v>
      </c>
      <c r="AO278" s="12">
        <v>2</v>
      </c>
      <c r="AP278" t="s">
        <v>176</v>
      </c>
      <c r="AQ278" s="12" t="b">
        <v>1</v>
      </c>
      <c r="AR278" s="12" t="str">
        <f>HYPERLINK("https://www.google.com/search?q=Siemens","Siemens")</f>
        <v>Siemens</v>
      </c>
      <c r="BR278" s="12" t="s">
        <v>155</v>
      </c>
      <c r="BV278" s="12" t="s">
        <v>210</v>
      </c>
      <c r="CF278" s="12" t="s">
        <v>187</v>
      </c>
      <c r="CS278" s="12" t="s">
        <v>181</v>
      </c>
      <c r="DA278" s="12">
        <v>2</v>
      </c>
      <c r="DN278" s="12" t="b">
        <v>1</v>
      </c>
      <c r="DQ278">
        <f t="shared" ref="DQ278:DQ280" si="194">IF(T278="Ball",10,0)</f>
        <v>10</v>
      </c>
      <c r="DR278">
        <f t="shared" ref="DR278:DR280" si="195">IF(AE278="125°F (51.7°C) - 150°F (65.6°C)",1,0.5)</f>
        <v>1</v>
      </c>
      <c r="DS278" cm="1">
        <f t="array" ref="DS278">IF(AF278="&lt;0.2 ips",1,O.5)</f>
        <v>1</v>
      </c>
      <c r="DT278">
        <v>0.2</v>
      </c>
      <c r="DU278">
        <v>0.4</v>
      </c>
      <c r="DV278">
        <v>1</v>
      </c>
      <c r="DW278">
        <v>0.9</v>
      </c>
      <c r="DX278">
        <f t="shared" ref="DX278:DX280" si="196">PRODUCT(DQ278:DV278)</f>
        <v>0.8</v>
      </c>
      <c r="DY278">
        <f t="shared" ref="DY278:DY280" si="197">+DX278*((14000000/(Z278*AB278^0.5))-4*AB278)</f>
        <v>267.8389692799372</v>
      </c>
      <c r="DZ278">
        <f t="shared" ref="DZ278:DZ280" si="198">+DY278/8760</f>
        <v>3.0575224803645801E-2</v>
      </c>
      <c r="EA278">
        <f t="shared" ref="EA278:EA280" si="199">ROUND(+DZ278*12,1)</f>
        <v>0.4</v>
      </c>
    </row>
    <row r="279" spans="1:131" ht="90" hidden="1" x14ac:dyDescent="0.25">
      <c r="A279" t="s">
        <v>789</v>
      </c>
      <c r="B279" t="s">
        <v>732</v>
      </c>
      <c r="C279" t="s">
        <v>733</v>
      </c>
      <c r="D279" t="s">
        <v>783</v>
      </c>
      <c r="E279" t="s">
        <v>784</v>
      </c>
      <c r="F279" t="s">
        <v>134</v>
      </c>
      <c r="G279" t="s">
        <v>201</v>
      </c>
      <c r="H279" t="s">
        <v>775</v>
      </c>
      <c r="I279" t="s">
        <v>201</v>
      </c>
      <c r="L279" s="11" t="s">
        <v>773</v>
      </c>
      <c r="M279" t="s">
        <v>137</v>
      </c>
      <c r="N279" t="b">
        <v>0</v>
      </c>
      <c r="P279" s="12"/>
      <c r="Q279" s="12"/>
      <c r="T279" t="s">
        <v>203</v>
      </c>
      <c r="X279" s="12">
        <v>5800</v>
      </c>
      <c r="Y279" s="12">
        <v>660</v>
      </c>
      <c r="Z279" s="12">
        <v>1500</v>
      </c>
      <c r="AA279" s="12" t="s">
        <v>169</v>
      </c>
      <c r="AB279">
        <f t="shared" si="193"/>
        <v>125</v>
      </c>
      <c r="AC279" t="s">
        <v>148</v>
      </c>
      <c r="AE279" s="12" t="s">
        <v>144</v>
      </c>
      <c r="AF279" s="12" t="s">
        <v>171</v>
      </c>
      <c r="AI279" s="12" t="s">
        <v>206</v>
      </c>
      <c r="AJ279" s="12" t="s">
        <v>207</v>
      </c>
      <c r="AK279" s="12" t="s">
        <v>208</v>
      </c>
      <c r="AL279" s="12" t="s">
        <v>174</v>
      </c>
      <c r="AM279" s="12">
        <v>35</v>
      </c>
      <c r="AN279" t="s">
        <v>175</v>
      </c>
      <c r="AO279" s="12">
        <v>2</v>
      </c>
      <c r="AP279" t="s">
        <v>176</v>
      </c>
      <c r="AQ279" s="12" t="b">
        <v>1</v>
      </c>
      <c r="AR279" s="12" t="str">
        <f>HYPERLINK("https://www.google.com/search?q=Siemens","Siemens")</f>
        <v>Siemens</v>
      </c>
      <c r="BR279" s="12" t="s">
        <v>155</v>
      </c>
      <c r="BV279" s="12" t="s">
        <v>210</v>
      </c>
      <c r="CF279" s="12" t="s">
        <v>187</v>
      </c>
      <c r="CS279" s="12" t="s">
        <v>181</v>
      </c>
      <c r="DA279" s="12">
        <v>2</v>
      </c>
      <c r="DN279" s="12" t="b">
        <v>1</v>
      </c>
      <c r="DQ279">
        <f t="shared" si="194"/>
        <v>10</v>
      </c>
      <c r="DR279">
        <f t="shared" si="195"/>
        <v>1</v>
      </c>
      <c r="DS279" cm="1">
        <f t="array" ref="DS279">IF(AF279="&lt;0.2 ips",1,O.5)</f>
        <v>1</v>
      </c>
      <c r="DT279">
        <v>0.2</v>
      </c>
      <c r="DU279">
        <v>0.4</v>
      </c>
      <c r="DV279">
        <v>1</v>
      </c>
      <c r="DW279">
        <v>0.9</v>
      </c>
      <c r="DX279">
        <f t="shared" si="196"/>
        <v>0.8</v>
      </c>
      <c r="DY279">
        <f t="shared" si="197"/>
        <v>267.8389692799372</v>
      </c>
      <c r="DZ279">
        <f t="shared" si="198"/>
        <v>3.0575224803645801E-2</v>
      </c>
      <c r="EA279">
        <f t="shared" si="199"/>
        <v>0.4</v>
      </c>
    </row>
    <row r="280" spans="1:131" ht="90" hidden="1" x14ac:dyDescent="0.25">
      <c r="A280" t="s">
        <v>790</v>
      </c>
      <c r="B280" t="s">
        <v>732</v>
      </c>
      <c r="C280" t="s">
        <v>733</v>
      </c>
      <c r="D280" t="s">
        <v>783</v>
      </c>
      <c r="E280" t="s">
        <v>784</v>
      </c>
      <c r="F280" t="s">
        <v>134</v>
      </c>
      <c r="G280" t="s">
        <v>201</v>
      </c>
      <c r="H280" t="s">
        <v>212</v>
      </c>
      <c r="I280" t="s">
        <v>201</v>
      </c>
      <c r="L280" s="11" t="s">
        <v>773</v>
      </c>
      <c r="M280" t="s">
        <v>137</v>
      </c>
      <c r="N280" t="b">
        <v>0</v>
      </c>
      <c r="P280" s="12"/>
      <c r="Q280" s="12"/>
      <c r="T280" t="s">
        <v>203</v>
      </c>
      <c r="X280" s="12">
        <v>5800</v>
      </c>
      <c r="Y280" s="12">
        <v>660</v>
      </c>
      <c r="Z280" s="12">
        <v>1500</v>
      </c>
      <c r="AA280" s="12" t="s">
        <v>169</v>
      </c>
      <c r="AB280">
        <f t="shared" si="193"/>
        <v>125</v>
      </c>
      <c r="AC280" t="s">
        <v>148</v>
      </c>
      <c r="AE280" s="12" t="s">
        <v>144</v>
      </c>
      <c r="AF280" s="12" t="s">
        <v>171</v>
      </c>
      <c r="AI280" s="12" t="s">
        <v>206</v>
      </c>
      <c r="AJ280" s="12" t="s">
        <v>207</v>
      </c>
      <c r="AK280" s="12" t="s">
        <v>208</v>
      </c>
      <c r="AL280" s="12" t="s">
        <v>174</v>
      </c>
      <c r="AM280" s="12">
        <v>35</v>
      </c>
      <c r="AN280" t="s">
        <v>175</v>
      </c>
      <c r="AO280" s="12">
        <v>2</v>
      </c>
      <c r="AP280" t="s">
        <v>176</v>
      </c>
      <c r="AQ280" s="12" t="b">
        <v>1</v>
      </c>
      <c r="AR280" s="12" t="str">
        <f>HYPERLINK("https://www.google.com/search?q=Siemens","Siemens")</f>
        <v>Siemens</v>
      </c>
      <c r="BR280" s="12" t="s">
        <v>155</v>
      </c>
      <c r="BV280" s="12" t="s">
        <v>210</v>
      </c>
      <c r="CF280" s="12" t="s">
        <v>187</v>
      </c>
      <c r="CS280" s="12" t="s">
        <v>181</v>
      </c>
      <c r="DA280" s="12">
        <v>2</v>
      </c>
      <c r="DN280" s="12" t="b">
        <v>1</v>
      </c>
      <c r="DQ280">
        <f t="shared" si="194"/>
        <v>10</v>
      </c>
      <c r="DR280">
        <f t="shared" si="195"/>
        <v>1</v>
      </c>
      <c r="DS280" cm="1">
        <f t="array" ref="DS280">IF(AF280="&lt;0.2 ips",1,O.5)</f>
        <v>1</v>
      </c>
      <c r="DT280">
        <v>0.2</v>
      </c>
      <c r="DU280">
        <v>0.4</v>
      </c>
      <c r="DV280">
        <v>1</v>
      </c>
      <c r="DW280">
        <v>0.9</v>
      </c>
      <c r="DX280">
        <f t="shared" si="196"/>
        <v>0.8</v>
      </c>
      <c r="DY280">
        <f t="shared" si="197"/>
        <v>267.8389692799372</v>
      </c>
      <c r="DZ280">
        <f t="shared" si="198"/>
        <v>3.0575224803645801E-2</v>
      </c>
      <c r="EA280">
        <f t="shared" si="199"/>
        <v>0.4</v>
      </c>
    </row>
    <row r="281" spans="1:131" ht="120" hidden="1" x14ac:dyDescent="0.25">
      <c r="A281" t="s">
        <v>791</v>
      </c>
      <c r="B281" t="s">
        <v>732</v>
      </c>
      <c r="C281" t="s">
        <v>733</v>
      </c>
      <c r="D281" t="s">
        <v>783</v>
      </c>
      <c r="E281" t="s">
        <v>784</v>
      </c>
      <c r="F281" t="s">
        <v>778</v>
      </c>
      <c r="G281" t="s">
        <v>192</v>
      </c>
      <c r="H281" t="s">
        <v>141</v>
      </c>
      <c r="I281" t="s">
        <v>142</v>
      </c>
      <c r="L281" s="11" t="s">
        <v>779</v>
      </c>
      <c r="M281" t="s">
        <v>137</v>
      </c>
      <c r="N281" t="b">
        <v>0</v>
      </c>
      <c r="Y281" s="12"/>
      <c r="AE281" s="12" t="s">
        <v>205</v>
      </c>
      <c r="AI281" s="12" t="s">
        <v>206</v>
      </c>
      <c r="AJ281" s="12" t="s">
        <v>207</v>
      </c>
      <c r="AK281" s="12" t="s">
        <v>208</v>
      </c>
      <c r="AR281" s="12" t="str">
        <f>HYPERLINK("https://www.google.com/search?q=","")</f>
        <v/>
      </c>
      <c r="AS281">
        <v>300</v>
      </c>
      <c r="AT281" t="s">
        <v>148</v>
      </c>
      <c r="AU281">
        <v>1250</v>
      </c>
      <c r="AV281" t="s">
        <v>148</v>
      </c>
      <c r="AW281">
        <v>1300</v>
      </c>
      <c r="AX281" t="s">
        <v>148</v>
      </c>
      <c r="AY281" s="12">
        <v>280</v>
      </c>
      <c r="AZ281" t="s">
        <v>149</v>
      </c>
      <c r="BF281" s="12" t="s">
        <v>780</v>
      </c>
      <c r="BH281" s="12" t="s">
        <v>458</v>
      </c>
      <c r="BI281" s="12" t="s">
        <v>152</v>
      </c>
      <c r="BL281" s="12" t="s">
        <v>412</v>
      </c>
      <c r="BN281" s="12" t="s">
        <v>154</v>
      </c>
      <c r="BP281" s="12" t="s">
        <v>155</v>
      </c>
      <c r="BT281" s="12" t="s">
        <v>781</v>
      </c>
      <c r="BV281" s="12" t="s">
        <v>573</v>
      </c>
      <c r="BY281" s="12" t="s">
        <v>155</v>
      </c>
      <c r="CA281" s="12" t="s">
        <v>218</v>
      </c>
      <c r="CD281" s="12">
        <v>250</v>
      </c>
      <c r="CE281" t="s">
        <v>148</v>
      </c>
      <c r="CH281" s="12" t="s">
        <v>159</v>
      </c>
      <c r="CU281" s="12" t="s">
        <v>412</v>
      </c>
      <c r="DC281" s="12" t="b">
        <v>0</v>
      </c>
      <c r="DD281" s="12" t="s">
        <v>626</v>
      </c>
      <c r="DG281" s="12" t="s">
        <v>459</v>
      </c>
      <c r="DV281">
        <f t="shared" ref="DV281:DV285" si="200">IF(AA283="Horizontal",1,0.5)</f>
        <v>0.5</v>
      </c>
    </row>
    <row r="282" spans="1:131" hidden="1" x14ac:dyDescent="0.25">
      <c r="A282" t="s">
        <v>792</v>
      </c>
      <c r="B282" t="s">
        <v>732</v>
      </c>
      <c r="C282" t="s">
        <v>733</v>
      </c>
      <c r="D282" t="s">
        <v>793</v>
      </c>
      <c r="E282" t="s">
        <v>794</v>
      </c>
      <c r="F282" t="s">
        <v>736</v>
      </c>
      <c r="G282" t="s">
        <v>618</v>
      </c>
      <c r="H282" t="s">
        <v>354</v>
      </c>
      <c r="I282" t="s">
        <v>355</v>
      </c>
      <c r="M282" t="s">
        <v>137</v>
      </c>
      <c r="N282" t="b">
        <v>0</v>
      </c>
      <c r="AR282" s="12" t="str">
        <f>HYPERLINK("https://www.google.com/search?q=","")</f>
        <v/>
      </c>
      <c r="CC282" s="12" t="b">
        <v>1</v>
      </c>
      <c r="CI282" s="12"/>
      <c r="CJ282" s="12" t="s">
        <v>609</v>
      </c>
      <c r="CK282" s="12" t="s">
        <v>610</v>
      </c>
      <c r="CL282" s="12"/>
      <c r="CM282" s="12"/>
      <c r="CN282" t="s">
        <v>356</v>
      </c>
      <c r="CO282" s="12" t="s">
        <v>620</v>
      </c>
      <c r="DD282" s="12" t="s">
        <v>155</v>
      </c>
      <c r="DG282" s="12" t="s">
        <v>737</v>
      </c>
      <c r="DV282">
        <f t="shared" si="200"/>
        <v>0.5</v>
      </c>
    </row>
    <row r="283" spans="1:131" ht="180" hidden="1" x14ac:dyDescent="0.25">
      <c r="A283" t="s">
        <v>795</v>
      </c>
      <c r="B283" t="s">
        <v>732</v>
      </c>
      <c r="C283" t="s">
        <v>733</v>
      </c>
      <c r="D283" t="s">
        <v>793</v>
      </c>
      <c r="E283" t="s">
        <v>794</v>
      </c>
      <c r="F283" t="s">
        <v>736</v>
      </c>
      <c r="G283" t="s">
        <v>618</v>
      </c>
      <c r="H283" t="s">
        <v>166</v>
      </c>
      <c r="I283" t="s">
        <v>739</v>
      </c>
      <c r="L283" s="11" t="s">
        <v>740</v>
      </c>
      <c r="M283" t="s">
        <v>137</v>
      </c>
      <c r="N283" t="b">
        <v>0</v>
      </c>
      <c r="P283" s="12"/>
      <c r="Q283" s="12"/>
      <c r="Z283" s="12"/>
      <c r="AE283" s="12" t="s">
        <v>144</v>
      </c>
      <c r="AI283" s="12" t="s">
        <v>206</v>
      </c>
      <c r="AJ283" s="12" t="s">
        <v>207</v>
      </c>
      <c r="AK283" s="12" t="s">
        <v>208</v>
      </c>
      <c r="AR283" s="12" t="str">
        <f>HYPERLINK("https://www.google.com/search?q=HAZLETON","HAZLETON")</f>
        <v>HAZLETON</v>
      </c>
      <c r="BL283" s="16" t="s">
        <v>339</v>
      </c>
      <c r="BN283" s="12" t="s">
        <v>154</v>
      </c>
      <c r="CA283" s="12" t="s">
        <v>218</v>
      </c>
      <c r="DD283" t="s">
        <v>626</v>
      </c>
      <c r="DV283">
        <f t="shared" si="200"/>
        <v>0.5</v>
      </c>
    </row>
    <row r="284" spans="1:131" ht="240" hidden="1" x14ac:dyDescent="0.25">
      <c r="A284" t="s">
        <v>796</v>
      </c>
      <c r="B284" t="s">
        <v>732</v>
      </c>
      <c r="C284" t="s">
        <v>733</v>
      </c>
      <c r="D284" t="s">
        <v>793</v>
      </c>
      <c r="E284" t="s">
        <v>794</v>
      </c>
      <c r="F284" t="s">
        <v>736</v>
      </c>
      <c r="G284" t="s">
        <v>618</v>
      </c>
      <c r="H284" t="s">
        <v>359</v>
      </c>
      <c r="I284" t="s">
        <v>663</v>
      </c>
      <c r="L284" s="11" t="s">
        <v>769</v>
      </c>
      <c r="M284" t="s">
        <v>137</v>
      </c>
      <c r="N284" t="b">
        <v>0</v>
      </c>
      <c r="AI284" s="12" t="s">
        <v>206</v>
      </c>
      <c r="AJ284" s="12" t="s">
        <v>207</v>
      </c>
      <c r="AK284" s="12" t="s">
        <v>208</v>
      </c>
      <c r="AS284">
        <v>300</v>
      </c>
      <c r="AT284" t="s">
        <v>148</v>
      </c>
      <c r="AU284">
        <v>450</v>
      </c>
      <c r="AV284" t="s">
        <v>148</v>
      </c>
      <c r="AW284">
        <v>700</v>
      </c>
      <c r="AX284" t="s">
        <v>148</v>
      </c>
      <c r="AY284" s="12">
        <v>130</v>
      </c>
      <c r="AZ284" t="s">
        <v>149</v>
      </c>
      <c r="BL284" s="12" t="s">
        <v>153</v>
      </c>
      <c r="BN284" s="12" t="s">
        <v>154</v>
      </c>
      <c r="BP284" s="12" t="s">
        <v>155</v>
      </c>
      <c r="BT284" s="12" t="s">
        <v>604</v>
      </c>
      <c r="BV284" s="12" t="s">
        <v>743</v>
      </c>
      <c r="BY284" s="12" t="s">
        <v>155</v>
      </c>
      <c r="CA284" s="12" t="s">
        <v>218</v>
      </c>
      <c r="CD284" s="12">
        <v>200</v>
      </c>
      <c r="CE284" t="s">
        <v>148</v>
      </c>
      <c r="CH284" s="15" t="s">
        <v>577</v>
      </c>
      <c r="CU284" s="12" t="s">
        <v>578</v>
      </c>
      <c r="DC284" s="12" t="b">
        <v>0</v>
      </c>
      <c r="DD284" s="12" t="s">
        <v>626</v>
      </c>
      <c r="DG284" s="12"/>
      <c r="DL284" t="s">
        <v>629</v>
      </c>
      <c r="DP284" s="12">
        <v>3</v>
      </c>
      <c r="DV284">
        <f t="shared" si="200"/>
        <v>1</v>
      </c>
    </row>
    <row r="285" spans="1:131" ht="330" hidden="1" x14ac:dyDescent="0.25">
      <c r="A285" t="s">
        <v>797</v>
      </c>
      <c r="B285" t="s">
        <v>732</v>
      </c>
      <c r="C285" t="s">
        <v>733</v>
      </c>
      <c r="D285" t="s">
        <v>793</v>
      </c>
      <c r="E285" t="s">
        <v>794</v>
      </c>
      <c r="F285" t="s">
        <v>736</v>
      </c>
      <c r="G285" t="s">
        <v>618</v>
      </c>
      <c r="H285" t="s">
        <v>612</v>
      </c>
      <c r="I285" t="s">
        <v>613</v>
      </c>
      <c r="L285" s="11" t="s">
        <v>745</v>
      </c>
      <c r="M285" t="s">
        <v>137</v>
      </c>
      <c r="N285" t="b">
        <v>0</v>
      </c>
      <c r="CA285" s="12" t="s">
        <v>218</v>
      </c>
      <c r="DV285">
        <f t="shared" si="200"/>
        <v>1</v>
      </c>
    </row>
    <row r="286" spans="1:131" ht="90" hidden="1" x14ac:dyDescent="0.25">
      <c r="A286" t="s">
        <v>798</v>
      </c>
      <c r="B286" t="s">
        <v>732</v>
      </c>
      <c r="C286" t="s">
        <v>733</v>
      </c>
      <c r="D286" t="s">
        <v>793</v>
      </c>
      <c r="E286" t="s">
        <v>794</v>
      </c>
      <c r="F286" t="s">
        <v>134</v>
      </c>
      <c r="G286" t="s">
        <v>201</v>
      </c>
      <c r="H286" t="s">
        <v>772</v>
      </c>
      <c r="I286" t="s">
        <v>201</v>
      </c>
      <c r="L286" s="11" t="s">
        <v>773</v>
      </c>
      <c r="M286" t="s">
        <v>137</v>
      </c>
      <c r="N286" t="b">
        <v>0</v>
      </c>
      <c r="P286" s="12"/>
      <c r="Q286" s="12"/>
      <c r="T286" t="s">
        <v>203</v>
      </c>
      <c r="X286" s="12">
        <v>5800</v>
      </c>
      <c r="Y286" s="12">
        <v>660</v>
      </c>
      <c r="Z286" s="12">
        <v>1500</v>
      </c>
      <c r="AA286" s="12" t="s">
        <v>169</v>
      </c>
      <c r="AB286">
        <f t="shared" ref="AB286:AB288" si="201">25*5</f>
        <v>125</v>
      </c>
      <c r="AC286" t="s">
        <v>148</v>
      </c>
      <c r="AE286" s="12" t="s">
        <v>144</v>
      </c>
      <c r="AF286" s="12" t="s">
        <v>171</v>
      </c>
      <c r="AI286" s="12" t="s">
        <v>206</v>
      </c>
      <c r="AJ286" s="12" t="s">
        <v>207</v>
      </c>
      <c r="AK286" s="12" t="s">
        <v>208</v>
      </c>
      <c r="AL286" s="12" t="s">
        <v>174</v>
      </c>
      <c r="AM286" s="12">
        <v>35</v>
      </c>
      <c r="AN286" t="s">
        <v>175</v>
      </c>
      <c r="AO286" s="12">
        <v>2</v>
      </c>
      <c r="AP286" t="s">
        <v>176</v>
      </c>
      <c r="AQ286" s="12" t="b">
        <v>1</v>
      </c>
      <c r="AR286" s="12" t="str">
        <f>HYPERLINK("https://www.google.com/search?q=Siemens","Siemens")</f>
        <v>Siemens</v>
      </c>
      <c r="BR286" s="12" t="s">
        <v>155</v>
      </c>
      <c r="BV286" s="12" t="s">
        <v>210</v>
      </c>
      <c r="CF286" s="12" t="s">
        <v>187</v>
      </c>
      <c r="CS286" s="12" t="s">
        <v>181</v>
      </c>
      <c r="DA286" s="12">
        <v>2</v>
      </c>
      <c r="DN286" s="12" t="b">
        <v>1</v>
      </c>
      <c r="DQ286">
        <f t="shared" ref="DQ286:DQ288" si="202">IF(T286="Ball",10,0)</f>
        <v>10</v>
      </c>
      <c r="DR286">
        <f t="shared" ref="DR286:DR288" si="203">IF(AE286="125°F (51.7°C) - 150°F (65.6°C)",1,0.5)</f>
        <v>1</v>
      </c>
      <c r="DS286" cm="1">
        <f t="array" ref="DS286">IF(AF286="&lt;0.2 ips",1,O.5)</f>
        <v>1</v>
      </c>
      <c r="DT286">
        <v>0.2</v>
      </c>
      <c r="DU286">
        <v>0.4</v>
      </c>
      <c r="DV286">
        <v>1</v>
      </c>
      <c r="DW286">
        <v>0.9</v>
      </c>
      <c r="DX286">
        <f t="shared" ref="DX286:DX288" si="204">PRODUCT(DQ286:DV286)</f>
        <v>0.8</v>
      </c>
      <c r="DY286">
        <f t="shared" ref="DY286:DY288" si="205">+DX286*((14000000/(Z286*AB286^0.5))-4*AB286)</f>
        <v>267.8389692799372</v>
      </c>
      <c r="DZ286">
        <f t="shared" ref="DZ286:DZ288" si="206">+DY286/8760</f>
        <v>3.0575224803645801E-2</v>
      </c>
      <c r="EA286">
        <f t="shared" ref="EA286:EA288" si="207">ROUND(+DZ286*12,1)</f>
        <v>0.4</v>
      </c>
    </row>
    <row r="287" spans="1:131" ht="90" hidden="1" x14ac:dyDescent="0.25">
      <c r="A287" t="s">
        <v>799</v>
      </c>
      <c r="B287" t="s">
        <v>732</v>
      </c>
      <c r="C287" t="s">
        <v>733</v>
      </c>
      <c r="D287" t="s">
        <v>793</v>
      </c>
      <c r="E287" t="s">
        <v>794</v>
      </c>
      <c r="F287" t="s">
        <v>134</v>
      </c>
      <c r="G287" t="s">
        <v>201</v>
      </c>
      <c r="H287" t="s">
        <v>775</v>
      </c>
      <c r="I287" t="s">
        <v>201</v>
      </c>
      <c r="L287" s="11" t="s">
        <v>773</v>
      </c>
      <c r="M287" t="s">
        <v>137</v>
      </c>
      <c r="N287" t="b">
        <v>0</v>
      </c>
      <c r="P287" s="12"/>
      <c r="Q287" s="12"/>
      <c r="T287" t="s">
        <v>203</v>
      </c>
      <c r="X287" s="12">
        <v>5800</v>
      </c>
      <c r="Y287" s="12">
        <v>660</v>
      </c>
      <c r="Z287" s="12">
        <v>1500</v>
      </c>
      <c r="AA287" s="12" t="s">
        <v>169</v>
      </c>
      <c r="AB287">
        <f t="shared" si="201"/>
        <v>125</v>
      </c>
      <c r="AC287" t="s">
        <v>148</v>
      </c>
      <c r="AE287" s="12" t="s">
        <v>144</v>
      </c>
      <c r="AF287" s="12" t="s">
        <v>171</v>
      </c>
      <c r="AI287" s="12" t="s">
        <v>206</v>
      </c>
      <c r="AJ287" s="12" t="s">
        <v>207</v>
      </c>
      <c r="AK287" s="12" t="s">
        <v>208</v>
      </c>
      <c r="AL287" s="12" t="s">
        <v>174</v>
      </c>
      <c r="AM287" s="12">
        <v>35</v>
      </c>
      <c r="AN287" t="s">
        <v>175</v>
      </c>
      <c r="AO287" s="12">
        <v>2</v>
      </c>
      <c r="AP287" t="s">
        <v>176</v>
      </c>
      <c r="AQ287" s="12" t="b">
        <v>1</v>
      </c>
      <c r="AR287" s="12" t="str">
        <f>HYPERLINK("https://www.google.com/search?q=Siemens","Siemens")</f>
        <v>Siemens</v>
      </c>
      <c r="BR287" s="12" t="s">
        <v>155</v>
      </c>
      <c r="BV287" s="12" t="s">
        <v>210</v>
      </c>
      <c r="CF287" s="12" t="s">
        <v>187</v>
      </c>
      <c r="CS287" s="12" t="s">
        <v>181</v>
      </c>
      <c r="DA287" s="12">
        <v>2</v>
      </c>
      <c r="DN287" s="12" t="b">
        <v>1</v>
      </c>
      <c r="DQ287">
        <f t="shared" si="202"/>
        <v>10</v>
      </c>
      <c r="DR287">
        <f t="shared" si="203"/>
        <v>1</v>
      </c>
      <c r="DS287" cm="1">
        <f t="array" ref="DS287">IF(AF287="&lt;0.2 ips",1,O.5)</f>
        <v>1</v>
      </c>
      <c r="DT287">
        <v>0.2</v>
      </c>
      <c r="DU287">
        <v>0.4</v>
      </c>
      <c r="DV287">
        <v>1</v>
      </c>
      <c r="DW287">
        <v>0.9</v>
      </c>
      <c r="DX287">
        <f t="shared" si="204"/>
        <v>0.8</v>
      </c>
      <c r="DY287">
        <f t="shared" si="205"/>
        <v>267.8389692799372</v>
      </c>
      <c r="DZ287">
        <f t="shared" si="206"/>
        <v>3.0575224803645801E-2</v>
      </c>
      <c r="EA287">
        <f t="shared" si="207"/>
        <v>0.4</v>
      </c>
    </row>
    <row r="288" spans="1:131" ht="90" hidden="1" x14ac:dyDescent="0.25">
      <c r="A288" t="s">
        <v>800</v>
      </c>
      <c r="B288" t="s">
        <v>732</v>
      </c>
      <c r="C288" t="s">
        <v>733</v>
      </c>
      <c r="D288" t="s">
        <v>793</v>
      </c>
      <c r="E288" t="s">
        <v>794</v>
      </c>
      <c r="F288" t="s">
        <v>134</v>
      </c>
      <c r="G288" t="s">
        <v>201</v>
      </c>
      <c r="H288" t="s">
        <v>212</v>
      </c>
      <c r="I288" t="s">
        <v>201</v>
      </c>
      <c r="L288" s="11" t="s">
        <v>773</v>
      </c>
      <c r="M288" t="s">
        <v>137</v>
      </c>
      <c r="N288" t="b">
        <v>0</v>
      </c>
      <c r="P288" s="12"/>
      <c r="Q288" s="12"/>
      <c r="T288" t="s">
        <v>203</v>
      </c>
      <c r="X288" s="12">
        <v>5800</v>
      </c>
      <c r="Y288" s="12">
        <v>660</v>
      </c>
      <c r="Z288" s="12">
        <v>1500</v>
      </c>
      <c r="AA288" s="12" t="s">
        <v>169</v>
      </c>
      <c r="AB288">
        <f t="shared" si="201"/>
        <v>125</v>
      </c>
      <c r="AC288" t="s">
        <v>148</v>
      </c>
      <c r="AE288" s="12" t="s">
        <v>144</v>
      </c>
      <c r="AF288" s="12" t="s">
        <v>171</v>
      </c>
      <c r="AI288" s="12" t="s">
        <v>206</v>
      </c>
      <c r="AJ288" s="12" t="s">
        <v>207</v>
      </c>
      <c r="AK288" s="12" t="s">
        <v>208</v>
      </c>
      <c r="AL288" s="12" t="s">
        <v>174</v>
      </c>
      <c r="AM288" s="12">
        <v>35</v>
      </c>
      <c r="AN288" t="s">
        <v>175</v>
      </c>
      <c r="AO288" s="12">
        <v>2</v>
      </c>
      <c r="AP288" t="s">
        <v>176</v>
      </c>
      <c r="AQ288" s="12" t="b">
        <v>1</v>
      </c>
      <c r="AR288" s="12" t="str">
        <f>HYPERLINK("https://www.google.com/search?q=Siemens","Siemens")</f>
        <v>Siemens</v>
      </c>
      <c r="BR288" s="12" t="s">
        <v>155</v>
      </c>
      <c r="BV288" s="12" t="s">
        <v>210</v>
      </c>
      <c r="CF288" s="12" t="s">
        <v>187</v>
      </c>
      <c r="CS288" s="12" t="s">
        <v>181</v>
      </c>
      <c r="DA288" s="12">
        <v>2</v>
      </c>
      <c r="DN288" s="12" t="b">
        <v>1</v>
      </c>
      <c r="DQ288">
        <f t="shared" si="202"/>
        <v>10</v>
      </c>
      <c r="DR288">
        <f t="shared" si="203"/>
        <v>1</v>
      </c>
      <c r="DS288" cm="1">
        <f t="array" ref="DS288">IF(AF288="&lt;0.2 ips",1,O.5)</f>
        <v>1</v>
      </c>
      <c r="DT288">
        <v>0.2</v>
      </c>
      <c r="DU288">
        <v>0.4</v>
      </c>
      <c r="DV288">
        <v>1</v>
      </c>
      <c r="DW288">
        <v>0.9</v>
      </c>
      <c r="DX288">
        <f t="shared" si="204"/>
        <v>0.8</v>
      </c>
      <c r="DY288">
        <f t="shared" si="205"/>
        <v>267.8389692799372</v>
      </c>
      <c r="DZ288">
        <f t="shared" si="206"/>
        <v>3.0575224803645801E-2</v>
      </c>
      <c r="EA288">
        <f t="shared" si="207"/>
        <v>0.4</v>
      </c>
    </row>
    <row r="289" spans="1:131" ht="255" hidden="1" x14ac:dyDescent="0.25">
      <c r="A289" t="s">
        <v>801</v>
      </c>
      <c r="B289" t="s">
        <v>732</v>
      </c>
      <c r="C289" t="s">
        <v>733</v>
      </c>
      <c r="D289" t="s">
        <v>793</v>
      </c>
      <c r="E289" t="s">
        <v>794</v>
      </c>
      <c r="F289" t="s">
        <v>778</v>
      </c>
      <c r="G289" t="s">
        <v>192</v>
      </c>
      <c r="H289" t="s">
        <v>141</v>
      </c>
      <c r="I289" t="s">
        <v>142</v>
      </c>
      <c r="L289" s="11" t="s">
        <v>802</v>
      </c>
      <c r="M289" t="s">
        <v>137</v>
      </c>
      <c r="N289" t="b">
        <v>0</v>
      </c>
      <c r="Y289" s="12"/>
      <c r="AE289" s="12" t="s">
        <v>205</v>
      </c>
      <c r="AI289" s="12" t="s">
        <v>206</v>
      </c>
      <c r="AJ289" s="12" t="s">
        <v>207</v>
      </c>
      <c r="AK289" s="12" t="s">
        <v>208</v>
      </c>
      <c r="AR289" s="12" t="str">
        <f>HYPERLINK("https://www.google.com/search?q=","")</f>
        <v/>
      </c>
      <c r="AS289">
        <v>300</v>
      </c>
      <c r="AT289" t="s">
        <v>148</v>
      </c>
      <c r="AU289">
        <v>1250</v>
      </c>
      <c r="AV289" t="s">
        <v>148</v>
      </c>
      <c r="AW289">
        <v>1300</v>
      </c>
      <c r="AX289" t="s">
        <v>148</v>
      </c>
      <c r="AY289" s="12">
        <v>280</v>
      </c>
      <c r="AZ289" t="s">
        <v>149</v>
      </c>
      <c r="BF289" s="12" t="s">
        <v>780</v>
      </c>
      <c r="BH289" s="12" t="s">
        <v>458</v>
      </c>
      <c r="BI289" s="12" t="s">
        <v>152</v>
      </c>
      <c r="BL289" s="12" t="s">
        <v>412</v>
      </c>
      <c r="BN289" s="12" t="s">
        <v>154</v>
      </c>
      <c r="BP289" s="12" t="s">
        <v>155</v>
      </c>
      <c r="BT289" s="12" t="s">
        <v>781</v>
      </c>
      <c r="BV289" s="12" t="s">
        <v>573</v>
      </c>
      <c r="BY289" s="12" t="s">
        <v>155</v>
      </c>
      <c r="CA289" s="12" t="s">
        <v>218</v>
      </c>
      <c r="CD289" s="12">
        <v>250</v>
      </c>
      <c r="CE289" t="s">
        <v>148</v>
      </c>
      <c r="CH289" s="12" t="s">
        <v>159</v>
      </c>
      <c r="CU289" s="12" t="s">
        <v>412</v>
      </c>
      <c r="DC289" s="12" t="b">
        <v>0</v>
      </c>
      <c r="DD289" s="12" t="s">
        <v>626</v>
      </c>
      <c r="DG289" s="12" t="s">
        <v>459</v>
      </c>
      <c r="DV289">
        <f t="shared" ref="DV289:DV293" si="208">IF(AA291="Horizontal",1,0.5)</f>
        <v>0.5</v>
      </c>
    </row>
    <row r="290" spans="1:131" hidden="1" x14ac:dyDescent="0.25">
      <c r="A290" t="s">
        <v>803</v>
      </c>
      <c r="B290" t="s">
        <v>732</v>
      </c>
      <c r="C290" t="s">
        <v>733</v>
      </c>
      <c r="D290" t="s">
        <v>804</v>
      </c>
      <c r="E290" t="s">
        <v>805</v>
      </c>
      <c r="F290" t="s">
        <v>736</v>
      </c>
      <c r="G290" t="s">
        <v>618</v>
      </c>
      <c r="H290" t="s">
        <v>354</v>
      </c>
      <c r="I290" t="s">
        <v>355</v>
      </c>
      <c r="M290" t="s">
        <v>137</v>
      </c>
      <c r="N290" t="b">
        <v>0</v>
      </c>
      <c r="AR290" s="12" t="str">
        <f>HYPERLINK("https://www.google.com/search?q=","")</f>
        <v/>
      </c>
      <c r="CC290" s="12" t="b">
        <v>1</v>
      </c>
      <c r="CI290" s="12"/>
      <c r="CJ290" s="12" t="s">
        <v>609</v>
      </c>
      <c r="CK290" s="12" t="s">
        <v>610</v>
      </c>
      <c r="CL290" s="12"/>
      <c r="CM290" s="12"/>
      <c r="CN290" t="s">
        <v>356</v>
      </c>
      <c r="CO290" s="12" t="s">
        <v>620</v>
      </c>
      <c r="DD290" s="12" t="s">
        <v>155</v>
      </c>
      <c r="DG290" s="12" t="s">
        <v>737</v>
      </c>
      <c r="DV290">
        <f t="shared" si="208"/>
        <v>0.5</v>
      </c>
    </row>
    <row r="291" spans="1:131" ht="180" hidden="1" x14ac:dyDescent="0.25">
      <c r="A291" t="s">
        <v>806</v>
      </c>
      <c r="B291" t="s">
        <v>732</v>
      </c>
      <c r="C291" t="s">
        <v>733</v>
      </c>
      <c r="D291" t="s">
        <v>804</v>
      </c>
      <c r="E291" t="s">
        <v>805</v>
      </c>
      <c r="F291" t="s">
        <v>736</v>
      </c>
      <c r="G291" t="s">
        <v>618</v>
      </c>
      <c r="H291" t="s">
        <v>166</v>
      </c>
      <c r="I291" t="s">
        <v>739</v>
      </c>
      <c r="L291" s="11" t="s">
        <v>740</v>
      </c>
      <c r="M291" t="s">
        <v>137</v>
      </c>
      <c r="N291" t="b">
        <v>0</v>
      </c>
      <c r="P291" s="12"/>
      <c r="Q291" s="12"/>
      <c r="Z291" s="12"/>
      <c r="AE291" s="12" t="s">
        <v>144</v>
      </c>
      <c r="AI291" s="12" t="s">
        <v>206</v>
      </c>
      <c r="AJ291" s="12" t="s">
        <v>207</v>
      </c>
      <c r="AK291" s="12" t="s">
        <v>208</v>
      </c>
      <c r="AR291" s="12" t="str">
        <f>HYPERLINK("https://www.google.com/search?q=HAZLETON","HAZLETON")</f>
        <v>HAZLETON</v>
      </c>
      <c r="BL291" s="16" t="s">
        <v>339</v>
      </c>
      <c r="BN291" s="12" t="s">
        <v>154</v>
      </c>
      <c r="CA291" s="12" t="s">
        <v>218</v>
      </c>
      <c r="DD291" t="s">
        <v>626</v>
      </c>
      <c r="DV291">
        <f t="shared" si="208"/>
        <v>0.5</v>
      </c>
    </row>
    <row r="292" spans="1:131" ht="240" hidden="1" x14ac:dyDescent="0.25">
      <c r="A292" t="s">
        <v>807</v>
      </c>
      <c r="B292" t="s">
        <v>732</v>
      </c>
      <c r="C292" t="s">
        <v>733</v>
      </c>
      <c r="D292" t="s">
        <v>804</v>
      </c>
      <c r="E292" t="s">
        <v>805</v>
      </c>
      <c r="F292" t="s">
        <v>736</v>
      </c>
      <c r="G292" t="s">
        <v>618</v>
      </c>
      <c r="H292" t="s">
        <v>359</v>
      </c>
      <c r="I292" t="s">
        <v>663</v>
      </c>
      <c r="L292" s="11" t="s">
        <v>769</v>
      </c>
      <c r="M292" t="s">
        <v>137</v>
      </c>
      <c r="N292" t="b">
        <v>0</v>
      </c>
      <c r="AI292" s="12" t="s">
        <v>206</v>
      </c>
      <c r="AJ292" s="12" t="s">
        <v>207</v>
      </c>
      <c r="AK292" s="12" t="s">
        <v>208</v>
      </c>
      <c r="AS292">
        <v>300</v>
      </c>
      <c r="AT292" t="s">
        <v>148</v>
      </c>
      <c r="AU292">
        <v>450</v>
      </c>
      <c r="AV292" t="s">
        <v>148</v>
      </c>
      <c r="AW292">
        <v>700</v>
      </c>
      <c r="AX292" t="s">
        <v>148</v>
      </c>
      <c r="AY292" s="12">
        <v>130</v>
      </c>
      <c r="AZ292" t="s">
        <v>149</v>
      </c>
      <c r="BL292" s="12" t="s">
        <v>153</v>
      </c>
      <c r="BN292" s="12" t="s">
        <v>154</v>
      </c>
      <c r="BP292" s="12" t="s">
        <v>155</v>
      </c>
      <c r="BT292" s="12" t="s">
        <v>604</v>
      </c>
      <c r="BV292" s="12" t="s">
        <v>743</v>
      </c>
      <c r="BY292" s="12" t="s">
        <v>155</v>
      </c>
      <c r="CA292" s="12" t="s">
        <v>218</v>
      </c>
      <c r="CD292" s="12">
        <v>200</v>
      </c>
      <c r="CE292" t="s">
        <v>148</v>
      </c>
      <c r="CH292" s="15" t="s">
        <v>577</v>
      </c>
      <c r="CU292" s="12" t="s">
        <v>578</v>
      </c>
      <c r="DC292" s="12" t="b">
        <v>0</v>
      </c>
      <c r="DD292" s="12" t="s">
        <v>626</v>
      </c>
      <c r="DG292" s="12"/>
      <c r="DL292" t="s">
        <v>629</v>
      </c>
      <c r="DP292" s="12">
        <v>3</v>
      </c>
      <c r="DV292">
        <f t="shared" si="208"/>
        <v>1</v>
      </c>
    </row>
    <row r="293" spans="1:131" ht="330" hidden="1" x14ac:dyDescent="0.25">
      <c r="A293" t="s">
        <v>808</v>
      </c>
      <c r="B293" t="s">
        <v>732</v>
      </c>
      <c r="C293" t="s">
        <v>733</v>
      </c>
      <c r="D293" t="s">
        <v>804</v>
      </c>
      <c r="E293" t="s">
        <v>805</v>
      </c>
      <c r="F293" t="s">
        <v>736</v>
      </c>
      <c r="G293" t="s">
        <v>618</v>
      </c>
      <c r="H293" t="s">
        <v>612</v>
      </c>
      <c r="I293" t="s">
        <v>613</v>
      </c>
      <c r="L293" s="11" t="s">
        <v>745</v>
      </c>
      <c r="M293" t="s">
        <v>137</v>
      </c>
      <c r="N293" t="b">
        <v>0</v>
      </c>
      <c r="CA293" s="12" t="s">
        <v>218</v>
      </c>
      <c r="DV293">
        <f t="shared" si="208"/>
        <v>1</v>
      </c>
    </row>
    <row r="294" spans="1:131" ht="90" hidden="1" x14ac:dyDescent="0.25">
      <c r="A294" t="s">
        <v>809</v>
      </c>
      <c r="B294" t="s">
        <v>732</v>
      </c>
      <c r="C294" t="s">
        <v>733</v>
      </c>
      <c r="D294" t="s">
        <v>804</v>
      </c>
      <c r="E294" t="s">
        <v>805</v>
      </c>
      <c r="F294" t="s">
        <v>134</v>
      </c>
      <c r="G294" t="s">
        <v>201</v>
      </c>
      <c r="H294" t="s">
        <v>772</v>
      </c>
      <c r="I294" t="s">
        <v>201</v>
      </c>
      <c r="L294" s="11" t="s">
        <v>773</v>
      </c>
      <c r="M294" t="s">
        <v>137</v>
      </c>
      <c r="N294" t="b">
        <v>0</v>
      </c>
      <c r="P294" s="12"/>
      <c r="Q294" s="12"/>
      <c r="T294" t="s">
        <v>203</v>
      </c>
      <c r="X294" s="12">
        <v>5800</v>
      </c>
      <c r="Y294" s="12">
        <v>660</v>
      </c>
      <c r="Z294" s="12">
        <v>1500</v>
      </c>
      <c r="AA294" s="12" t="s">
        <v>169</v>
      </c>
      <c r="AB294">
        <f t="shared" ref="AB294:AB296" si="209">25*5</f>
        <v>125</v>
      </c>
      <c r="AC294" t="s">
        <v>148</v>
      </c>
      <c r="AE294" s="12" t="s">
        <v>144</v>
      </c>
      <c r="AF294" s="12" t="s">
        <v>171</v>
      </c>
      <c r="AI294" s="12" t="s">
        <v>206</v>
      </c>
      <c r="AJ294" s="12" t="s">
        <v>207</v>
      </c>
      <c r="AK294" s="12" t="s">
        <v>208</v>
      </c>
      <c r="AL294" s="12" t="s">
        <v>174</v>
      </c>
      <c r="AM294" s="12">
        <v>35</v>
      </c>
      <c r="AN294" t="s">
        <v>175</v>
      </c>
      <c r="AO294" s="12">
        <v>2</v>
      </c>
      <c r="AP294" t="s">
        <v>176</v>
      </c>
      <c r="AQ294" s="12" t="b">
        <v>1</v>
      </c>
      <c r="AR294" s="12" t="str">
        <f>HYPERLINK("https://www.google.com/search?q=Siemens","Siemens")</f>
        <v>Siemens</v>
      </c>
      <c r="BR294" s="12" t="s">
        <v>178</v>
      </c>
      <c r="BV294" s="12" t="s">
        <v>210</v>
      </c>
      <c r="CF294" s="12" t="s">
        <v>187</v>
      </c>
      <c r="CS294" s="12" t="s">
        <v>181</v>
      </c>
      <c r="DA294" s="12">
        <v>2</v>
      </c>
      <c r="DN294" s="12" t="b">
        <v>1</v>
      </c>
      <c r="DQ294">
        <f t="shared" ref="DQ294:DQ296" si="210">IF(T294="Ball",10,0)</f>
        <v>10</v>
      </c>
      <c r="DR294">
        <f t="shared" ref="DR294:DR296" si="211">IF(AE294="125°F (51.7°C) - 150°F (65.6°C)",1,0.5)</f>
        <v>1</v>
      </c>
      <c r="DS294" cm="1">
        <f t="array" ref="DS294">IF(AF294="&lt;0.2 ips",1,O.5)</f>
        <v>1</v>
      </c>
      <c r="DT294">
        <v>0.2</v>
      </c>
      <c r="DU294">
        <v>0.4</v>
      </c>
      <c r="DV294">
        <v>1</v>
      </c>
      <c r="DW294">
        <v>0.9</v>
      </c>
      <c r="DX294">
        <f t="shared" ref="DX294:DX296" si="212">PRODUCT(DQ294:DV294)</f>
        <v>0.8</v>
      </c>
      <c r="DY294">
        <f t="shared" ref="DY294:DY296" si="213">+DX294*((14000000/(Z294*AB294^0.5))-4*AB294)</f>
        <v>267.8389692799372</v>
      </c>
      <c r="DZ294">
        <f t="shared" ref="DZ294:DZ296" si="214">+DY294/8760</f>
        <v>3.0575224803645801E-2</v>
      </c>
      <c r="EA294">
        <f t="shared" ref="EA294:EA296" si="215">ROUND(+DZ294*12,1)</f>
        <v>0.4</v>
      </c>
    </row>
    <row r="295" spans="1:131" ht="90" hidden="1" x14ac:dyDescent="0.25">
      <c r="A295" t="s">
        <v>810</v>
      </c>
      <c r="B295" t="s">
        <v>732</v>
      </c>
      <c r="C295" t="s">
        <v>733</v>
      </c>
      <c r="D295" t="s">
        <v>804</v>
      </c>
      <c r="E295" t="s">
        <v>805</v>
      </c>
      <c r="F295" t="s">
        <v>134</v>
      </c>
      <c r="G295" t="s">
        <v>201</v>
      </c>
      <c r="H295" t="s">
        <v>775</v>
      </c>
      <c r="I295" t="s">
        <v>201</v>
      </c>
      <c r="L295" s="11" t="s">
        <v>773</v>
      </c>
      <c r="M295" t="s">
        <v>137</v>
      </c>
      <c r="N295" t="b">
        <v>0</v>
      </c>
      <c r="P295" s="12"/>
      <c r="Q295" s="12"/>
      <c r="T295" t="s">
        <v>203</v>
      </c>
      <c r="X295" s="12">
        <v>5800</v>
      </c>
      <c r="Y295" s="12">
        <v>660</v>
      </c>
      <c r="Z295" s="12">
        <v>1500</v>
      </c>
      <c r="AA295" s="12" t="s">
        <v>169</v>
      </c>
      <c r="AB295">
        <f t="shared" si="209"/>
        <v>125</v>
      </c>
      <c r="AC295" t="s">
        <v>148</v>
      </c>
      <c r="AE295" s="12" t="s">
        <v>144</v>
      </c>
      <c r="AF295" s="12" t="s">
        <v>171</v>
      </c>
      <c r="AI295" s="12" t="s">
        <v>206</v>
      </c>
      <c r="AJ295" s="12" t="s">
        <v>207</v>
      </c>
      <c r="AK295" s="12" t="s">
        <v>208</v>
      </c>
      <c r="AL295" s="12" t="s">
        <v>174</v>
      </c>
      <c r="AM295" s="12">
        <v>35</v>
      </c>
      <c r="AN295" t="s">
        <v>175</v>
      </c>
      <c r="AO295" s="12">
        <v>2</v>
      </c>
      <c r="AP295" t="s">
        <v>176</v>
      </c>
      <c r="AQ295" s="12" t="b">
        <v>1</v>
      </c>
      <c r="AR295" s="12" t="str">
        <f>HYPERLINK("https://www.google.com/search?q=Siemens","Siemens")</f>
        <v>Siemens</v>
      </c>
      <c r="BR295" s="12" t="s">
        <v>178</v>
      </c>
      <c r="BV295" s="12" t="s">
        <v>210</v>
      </c>
      <c r="CF295" s="12" t="s">
        <v>187</v>
      </c>
      <c r="CS295" s="12" t="s">
        <v>181</v>
      </c>
      <c r="DA295" s="12">
        <v>2</v>
      </c>
      <c r="DN295" s="12" t="b">
        <v>1</v>
      </c>
      <c r="DQ295">
        <f t="shared" si="210"/>
        <v>10</v>
      </c>
      <c r="DR295">
        <f t="shared" si="211"/>
        <v>1</v>
      </c>
      <c r="DS295" cm="1">
        <f t="array" ref="DS295">IF(AF295="&lt;0.2 ips",1,O.5)</f>
        <v>1</v>
      </c>
      <c r="DT295">
        <v>0.2</v>
      </c>
      <c r="DU295">
        <v>0.4</v>
      </c>
      <c r="DV295">
        <v>1</v>
      </c>
      <c r="DW295">
        <v>0.9</v>
      </c>
      <c r="DX295">
        <f t="shared" si="212"/>
        <v>0.8</v>
      </c>
      <c r="DY295">
        <f t="shared" si="213"/>
        <v>267.8389692799372</v>
      </c>
      <c r="DZ295">
        <f t="shared" si="214"/>
        <v>3.0575224803645801E-2</v>
      </c>
      <c r="EA295">
        <f t="shared" si="215"/>
        <v>0.4</v>
      </c>
    </row>
    <row r="296" spans="1:131" ht="90" hidden="1" x14ac:dyDescent="0.25">
      <c r="A296" t="s">
        <v>811</v>
      </c>
      <c r="B296" t="s">
        <v>732</v>
      </c>
      <c r="C296" t="s">
        <v>733</v>
      </c>
      <c r="D296" t="s">
        <v>804</v>
      </c>
      <c r="E296" t="s">
        <v>805</v>
      </c>
      <c r="F296" t="s">
        <v>134</v>
      </c>
      <c r="G296" t="s">
        <v>201</v>
      </c>
      <c r="H296" t="s">
        <v>212</v>
      </c>
      <c r="I296" t="s">
        <v>201</v>
      </c>
      <c r="L296" s="11" t="s">
        <v>773</v>
      </c>
      <c r="M296" t="s">
        <v>137</v>
      </c>
      <c r="N296" t="b">
        <v>0</v>
      </c>
      <c r="P296" s="12"/>
      <c r="Q296" s="12"/>
      <c r="T296" t="s">
        <v>203</v>
      </c>
      <c r="X296" s="12">
        <v>5800</v>
      </c>
      <c r="Y296" s="12">
        <v>660</v>
      </c>
      <c r="Z296" s="12">
        <v>1500</v>
      </c>
      <c r="AA296" s="12" t="s">
        <v>169</v>
      </c>
      <c r="AB296">
        <f t="shared" si="209"/>
        <v>125</v>
      </c>
      <c r="AC296" t="s">
        <v>148</v>
      </c>
      <c r="AE296" s="12" t="s">
        <v>144</v>
      </c>
      <c r="AF296" s="12" t="s">
        <v>171</v>
      </c>
      <c r="AI296" s="12" t="s">
        <v>206</v>
      </c>
      <c r="AJ296" s="12" t="s">
        <v>207</v>
      </c>
      <c r="AK296" s="12" t="s">
        <v>208</v>
      </c>
      <c r="AL296" s="12" t="s">
        <v>174</v>
      </c>
      <c r="AM296" s="12">
        <v>35</v>
      </c>
      <c r="AN296" t="s">
        <v>175</v>
      </c>
      <c r="AO296" s="12">
        <v>2</v>
      </c>
      <c r="AP296" t="s">
        <v>176</v>
      </c>
      <c r="AQ296" s="12" t="b">
        <v>1</v>
      </c>
      <c r="AR296" s="12" t="str">
        <f>HYPERLINK("https://www.google.com/search?q=Siemens","Siemens")</f>
        <v>Siemens</v>
      </c>
      <c r="BR296" s="12" t="s">
        <v>178</v>
      </c>
      <c r="BV296" s="12" t="s">
        <v>210</v>
      </c>
      <c r="CF296" s="12" t="s">
        <v>187</v>
      </c>
      <c r="CS296" s="12" t="s">
        <v>181</v>
      </c>
      <c r="DA296" s="12">
        <v>2</v>
      </c>
      <c r="DN296" s="12" t="b">
        <v>1</v>
      </c>
      <c r="DQ296">
        <f t="shared" si="210"/>
        <v>10</v>
      </c>
      <c r="DR296">
        <f t="shared" si="211"/>
        <v>1</v>
      </c>
      <c r="DS296" cm="1">
        <f t="array" ref="DS296">IF(AF296="&lt;0.2 ips",1,O.5)</f>
        <v>1</v>
      </c>
      <c r="DT296">
        <v>0.2</v>
      </c>
      <c r="DU296">
        <v>0.4</v>
      </c>
      <c r="DV296">
        <v>1</v>
      </c>
      <c r="DW296">
        <v>0.9</v>
      </c>
      <c r="DX296">
        <f t="shared" si="212"/>
        <v>0.8</v>
      </c>
      <c r="DY296">
        <f t="shared" si="213"/>
        <v>267.8389692799372</v>
      </c>
      <c r="DZ296">
        <f t="shared" si="214"/>
        <v>3.0575224803645801E-2</v>
      </c>
      <c r="EA296">
        <f t="shared" si="215"/>
        <v>0.4</v>
      </c>
    </row>
    <row r="297" spans="1:131" ht="120" hidden="1" x14ac:dyDescent="0.25">
      <c r="A297" t="s">
        <v>812</v>
      </c>
      <c r="B297" t="s">
        <v>732</v>
      </c>
      <c r="C297" t="s">
        <v>733</v>
      </c>
      <c r="D297" t="s">
        <v>804</v>
      </c>
      <c r="E297" t="s">
        <v>805</v>
      </c>
      <c r="F297" t="s">
        <v>778</v>
      </c>
      <c r="G297" t="s">
        <v>192</v>
      </c>
      <c r="H297" t="s">
        <v>141</v>
      </c>
      <c r="I297" t="s">
        <v>142</v>
      </c>
      <c r="L297" s="11" t="s">
        <v>779</v>
      </c>
      <c r="M297" t="s">
        <v>137</v>
      </c>
      <c r="N297" t="b">
        <v>0</v>
      </c>
      <c r="Y297" s="12"/>
      <c r="AE297" s="12" t="s">
        <v>205</v>
      </c>
      <c r="AI297" s="12" t="s">
        <v>206</v>
      </c>
      <c r="AJ297" s="12" t="s">
        <v>207</v>
      </c>
      <c r="AK297" s="12" t="s">
        <v>208</v>
      </c>
      <c r="AR297" s="12" t="str">
        <f>HYPERLINK("https://www.google.com/search?q=","")</f>
        <v/>
      </c>
      <c r="AS297">
        <v>300</v>
      </c>
      <c r="AT297" t="s">
        <v>148</v>
      </c>
      <c r="AU297">
        <v>1250</v>
      </c>
      <c r="AV297" t="s">
        <v>148</v>
      </c>
      <c r="AW297">
        <v>1300</v>
      </c>
      <c r="AX297" t="s">
        <v>148</v>
      </c>
      <c r="AY297" s="12">
        <v>280</v>
      </c>
      <c r="AZ297" t="s">
        <v>149</v>
      </c>
      <c r="BF297" s="12" t="s">
        <v>780</v>
      </c>
      <c r="BH297" s="12" t="s">
        <v>458</v>
      </c>
      <c r="BI297" s="12" t="s">
        <v>152</v>
      </c>
      <c r="BL297" s="12" t="s">
        <v>412</v>
      </c>
      <c r="BN297" s="12" t="s">
        <v>154</v>
      </c>
      <c r="BP297" s="12" t="s">
        <v>155</v>
      </c>
      <c r="BT297" s="12" t="s">
        <v>781</v>
      </c>
      <c r="BV297" s="12" t="s">
        <v>573</v>
      </c>
      <c r="BY297" s="12" t="s">
        <v>155</v>
      </c>
      <c r="CA297" s="12" t="s">
        <v>218</v>
      </c>
      <c r="CD297" s="12">
        <v>250</v>
      </c>
      <c r="CE297" t="s">
        <v>148</v>
      </c>
      <c r="CH297" s="12" t="s">
        <v>159</v>
      </c>
      <c r="CU297" s="12" t="s">
        <v>412</v>
      </c>
      <c r="DC297" s="12" t="b">
        <v>0</v>
      </c>
      <c r="DD297" s="12" t="s">
        <v>626</v>
      </c>
      <c r="DG297" s="12" t="s">
        <v>459</v>
      </c>
      <c r="DV297">
        <f t="shared" ref="DV297:DV301" si="216">IF(AA299="Horizontal",1,0.5)</f>
        <v>0.5</v>
      </c>
    </row>
    <row r="298" spans="1:131" hidden="1" x14ac:dyDescent="0.25">
      <c r="A298" t="s">
        <v>813</v>
      </c>
      <c r="B298" t="s">
        <v>732</v>
      </c>
      <c r="C298" t="s">
        <v>733</v>
      </c>
      <c r="D298" t="s">
        <v>814</v>
      </c>
      <c r="E298" t="s">
        <v>815</v>
      </c>
      <c r="F298" t="s">
        <v>736</v>
      </c>
      <c r="G298" t="s">
        <v>618</v>
      </c>
      <c r="H298" t="s">
        <v>354</v>
      </c>
      <c r="I298" t="s">
        <v>355</v>
      </c>
      <c r="M298" t="s">
        <v>137</v>
      </c>
      <c r="N298" t="b">
        <v>0</v>
      </c>
      <c r="AR298" s="12" t="str">
        <f>HYPERLINK("https://www.google.com/search?q=","")</f>
        <v/>
      </c>
      <c r="CC298" s="12" t="b">
        <v>1</v>
      </c>
      <c r="CI298" s="12"/>
      <c r="CJ298" s="12" t="s">
        <v>609</v>
      </c>
      <c r="CK298" s="12" t="s">
        <v>610</v>
      </c>
      <c r="CL298" s="12"/>
      <c r="CM298" s="12"/>
      <c r="CN298" t="s">
        <v>356</v>
      </c>
      <c r="CO298" s="12" t="s">
        <v>620</v>
      </c>
      <c r="DD298" s="12" t="s">
        <v>155</v>
      </c>
      <c r="DG298" s="12" t="s">
        <v>737</v>
      </c>
      <c r="DV298">
        <f t="shared" si="216"/>
        <v>0.5</v>
      </c>
    </row>
    <row r="299" spans="1:131" ht="180" hidden="1" x14ac:dyDescent="0.25">
      <c r="A299" t="s">
        <v>816</v>
      </c>
      <c r="B299" t="s">
        <v>732</v>
      </c>
      <c r="C299" t="s">
        <v>733</v>
      </c>
      <c r="D299" t="s">
        <v>814</v>
      </c>
      <c r="E299" t="s">
        <v>815</v>
      </c>
      <c r="F299" t="s">
        <v>736</v>
      </c>
      <c r="G299" t="s">
        <v>618</v>
      </c>
      <c r="H299" t="s">
        <v>166</v>
      </c>
      <c r="I299" t="s">
        <v>739</v>
      </c>
      <c r="L299" s="11" t="s">
        <v>740</v>
      </c>
      <c r="M299" t="s">
        <v>137</v>
      </c>
      <c r="N299" t="b">
        <v>0</v>
      </c>
      <c r="P299" s="12"/>
      <c r="Q299" s="12"/>
      <c r="Z299" s="12"/>
      <c r="AE299" s="12" t="s">
        <v>144</v>
      </c>
      <c r="AI299" s="12" t="s">
        <v>206</v>
      </c>
      <c r="AJ299" s="12" t="s">
        <v>207</v>
      </c>
      <c r="AK299" s="12" t="s">
        <v>208</v>
      </c>
      <c r="AR299" s="12" t="str">
        <f>HYPERLINK("https://www.google.com/search?q=HAZLETON","HAZLETON")</f>
        <v>HAZLETON</v>
      </c>
      <c r="BL299" s="16" t="s">
        <v>339</v>
      </c>
      <c r="BN299" s="12" t="s">
        <v>154</v>
      </c>
      <c r="CA299" s="12" t="s">
        <v>218</v>
      </c>
      <c r="DD299" t="s">
        <v>626</v>
      </c>
      <c r="DV299">
        <f t="shared" si="216"/>
        <v>0.5</v>
      </c>
    </row>
    <row r="300" spans="1:131" ht="240" hidden="1" x14ac:dyDescent="0.25">
      <c r="A300" t="s">
        <v>817</v>
      </c>
      <c r="B300" t="s">
        <v>732</v>
      </c>
      <c r="C300" t="s">
        <v>733</v>
      </c>
      <c r="D300" t="s">
        <v>814</v>
      </c>
      <c r="E300" t="s">
        <v>815</v>
      </c>
      <c r="F300" t="s">
        <v>736</v>
      </c>
      <c r="G300" t="s">
        <v>618</v>
      </c>
      <c r="H300" t="s">
        <v>359</v>
      </c>
      <c r="I300" t="s">
        <v>663</v>
      </c>
      <c r="L300" s="11" t="s">
        <v>769</v>
      </c>
      <c r="M300" t="s">
        <v>137</v>
      </c>
      <c r="N300" t="b">
        <v>0</v>
      </c>
      <c r="AI300" s="12" t="s">
        <v>206</v>
      </c>
      <c r="AJ300" s="12" t="s">
        <v>207</v>
      </c>
      <c r="AK300" s="12" t="s">
        <v>208</v>
      </c>
      <c r="AS300">
        <v>300</v>
      </c>
      <c r="AT300" t="s">
        <v>148</v>
      </c>
      <c r="AU300">
        <v>450</v>
      </c>
      <c r="AV300" t="s">
        <v>148</v>
      </c>
      <c r="AW300">
        <v>700</v>
      </c>
      <c r="AX300" t="s">
        <v>148</v>
      </c>
      <c r="AY300" s="12">
        <v>130</v>
      </c>
      <c r="AZ300" t="s">
        <v>149</v>
      </c>
      <c r="BL300" s="12" t="s">
        <v>153</v>
      </c>
      <c r="BN300" s="12" t="s">
        <v>154</v>
      </c>
      <c r="BP300" s="12" t="s">
        <v>155</v>
      </c>
      <c r="BT300" s="12" t="s">
        <v>604</v>
      </c>
      <c r="BV300" s="12" t="s">
        <v>743</v>
      </c>
      <c r="BY300" s="12" t="s">
        <v>155</v>
      </c>
      <c r="CA300" s="12" t="s">
        <v>218</v>
      </c>
      <c r="CD300" s="12">
        <v>200</v>
      </c>
      <c r="CE300" t="s">
        <v>148</v>
      </c>
      <c r="CH300" s="15" t="s">
        <v>577</v>
      </c>
      <c r="CU300" s="12" t="s">
        <v>578</v>
      </c>
      <c r="DC300" s="12" t="b">
        <v>0</v>
      </c>
      <c r="DD300" s="12" t="s">
        <v>626</v>
      </c>
      <c r="DG300" s="12"/>
      <c r="DL300" t="s">
        <v>629</v>
      </c>
      <c r="DP300" s="12">
        <v>3</v>
      </c>
      <c r="DV300">
        <f t="shared" si="216"/>
        <v>1</v>
      </c>
    </row>
    <row r="301" spans="1:131" ht="330" hidden="1" x14ac:dyDescent="0.25">
      <c r="A301" t="s">
        <v>818</v>
      </c>
      <c r="B301" t="s">
        <v>732</v>
      </c>
      <c r="C301" t="s">
        <v>733</v>
      </c>
      <c r="D301" t="s">
        <v>814</v>
      </c>
      <c r="E301" t="s">
        <v>815</v>
      </c>
      <c r="F301" t="s">
        <v>736</v>
      </c>
      <c r="G301" t="s">
        <v>618</v>
      </c>
      <c r="H301" t="s">
        <v>612</v>
      </c>
      <c r="I301" t="s">
        <v>613</v>
      </c>
      <c r="L301" s="11" t="s">
        <v>745</v>
      </c>
      <c r="M301" t="s">
        <v>137</v>
      </c>
      <c r="N301" t="b">
        <v>0</v>
      </c>
      <c r="CA301" s="12" t="s">
        <v>218</v>
      </c>
      <c r="DV301">
        <f t="shared" si="216"/>
        <v>1</v>
      </c>
    </row>
    <row r="302" spans="1:131" ht="90" hidden="1" x14ac:dyDescent="0.25">
      <c r="A302" t="s">
        <v>819</v>
      </c>
      <c r="B302" t="s">
        <v>732</v>
      </c>
      <c r="C302" t="s">
        <v>733</v>
      </c>
      <c r="D302" t="s">
        <v>814</v>
      </c>
      <c r="E302" t="s">
        <v>815</v>
      </c>
      <c r="F302" t="s">
        <v>134</v>
      </c>
      <c r="G302" t="s">
        <v>201</v>
      </c>
      <c r="H302" t="s">
        <v>772</v>
      </c>
      <c r="I302" t="s">
        <v>201</v>
      </c>
      <c r="L302" s="11" t="s">
        <v>773</v>
      </c>
      <c r="M302" t="s">
        <v>137</v>
      </c>
      <c r="N302" t="b">
        <v>0</v>
      </c>
      <c r="P302" s="12"/>
      <c r="Q302" s="12"/>
      <c r="T302" t="s">
        <v>203</v>
      </c>
      <c r="X302" s="12">
        <v>5800</v>
      </c>
      <c r="Y302" s="12">
        <v>660</v>
      </c>
      <c r="Z302" s="12">
        <v>1500</v>
      </c>
      <c r="AA302" s="12" t="s">
        <v>169</v>
      </c>
      <c r="AB302">
        <f t="shared" ref="AB302:AB304" si="217">25*5</f>
        <v>125</v>
      </c>
      <c r="AC302" t="s">
        <v>148</v>
      </c>
      <c r="AE302" s="12" t="s">
        <v>144</v>
      </c>
      <c r="AF302" s="12" t="s">
        <v>171</v>
      </c>
      <c r="AI302" s="12" t="s">
        <v>206</v>
      </c>
      <c r="AJ302" s="12" t="s">
        <v>207</v>
      </c>
      <c r="AK302" s="12" t="s">
        <v>208</v>
      </c>
      <c r="AL302" s="12" t="s">
        <v>174</v>
      </c>
      <c r="AM302" s="12">
        <v>35</v>
      </c>
      <c r="AN302" t="s">
        <v>175</v>
      </c>
      <c r="AO302" s="12">
        <v>2</v>
      </c>
      <c r="AP302" t="s">
        <v>176</v>
      </c>
      <c r="AQ302" s="12" t="b">
        <v>1</v>
      </c>
      <c r="AR302" s="12" t="str">
        <f>HYPERLINK("https://www.google.com/search?q=Siemens","Siemens")</f>
        <v>Siemens</v>
      </c>
      <c r="BR302" s="12" t="s">
        <v>178</v>
      </c>
      <c r="BV302" s="12" t="s">
        <v>210</v>
      </c>
      <c r="CF302" s="12" t="s">
        <v>187</v>
      </c>
      <c r="CS302" s="12" t="s">
        <v>181</v>
      </c>
      <c r="DA302" s="12">
        <v>2</v>
      </c>
      <c r="DN302" s="12" t="b">
        <v>1</v>
      </c>
      <c r="DQ302">
        <f t="shared" ref="DQ302:DQ304" si="218">IF(T302="Ball",10,0)</f>
        <v>10</v>
      </c>
      <c r="DR302">
        <f t="shared" ref="DR302:DR304" si="219">IF(AE302="125°F (51.7°C) - 150°F (65.6°C)",1,0.5)</f>
        <v>1</v>
      </c>
      <c r="DS302" cm="1">
        <f t="array" ref="DS302">IF(AF302="&lt;0.2 ips",1,O.5)</f>
        <v>1</v>
      </c>
      <c r="DT302">
        <v>0.2</v>
      </c>
      <c r="DU302">
        <v>0.4</v>
      </c>
      <c r="DV302">
        <v>1</v>
      </c>
      <c r="DW302">
        <v>0.9</v>
      </c>
      <c r="DX302">
        <f t="shared" ref="DX302:DX304" si="220">PRODUCT(DQ302:DV302)</f>
        <v>0.8</v>
      </c>
      <c r="DY302">
        <f t="shared" ref="DY302:DY304" si="221">+DX302*((14000000/(Z302*AB302^0.5))-4*AB302)</f>
        <v>267.8389692799372</v>
      </c>
      <c r="DZ302">
        <f t="shared" ref="DZ302:DZ304" si="222">+DY302/8760</f>
        <v>3.0575224803645801E-2</v>
      </c>
      <c r="EA302">
        <f t="shared" ref="EA302:EA304" si="223">ROUND(+DZ302*12,1)</f>
        <v>0.4</v>
      </c>
    </row>
    <row r="303" spans="1:131" ht="90" hidden="1" x14ac:dyDescent="0.25">
      <c r="A303" t="s">
        <v>820</v>
      </c>
      <c r="B303" t="s">
        <v>732</v>
      </c>
      <c r="C303" t="s">
        <v>733</v>
      </c>
      <c r="D303" t="s">
        <v>814</v>
      </c>
      <c r="E303" t="s">
        <v>815</v>
      </c>
      <c r="F303" t="s">
        <v>134</v>
      </c>
      <c r="G303" t="s">
        <v>201</v>
      </c>
      <c r="H303" t="s">
        <v>775</v>
      </c>
      <c r="I303" t="s">
        <v>201</v>
      </c>
      <c r="L303" s="11" t="s">
        <v>773</v>
      </c>
      <c r="M303" t="s">
        <v>137</v>
      </c>
      <c r="N303" t="b">
        <v>0</v>
      </c>
      <c r="P303" s="12"/>
      <c r="Q303" s="12"/>
      <c r="T303" t="s">
        <v>203</v>
      </c>
      <c r="X303" s="12">
        <v>5800</v>
      </c>
      <c r="Y303" s="12">
        <v>660</v>
      </c>
      <c r="Z303" s="12">
        <v>1500</v>
      </c>
      <c r="AA303" s="12" t="s">
        <v>169</v>
      </c>
      <c r="AB303">
        <f t="shared" si="217"/>
        <v>125</v>
      </c>
      <c r="AC303" t="s">
        <v>148</v>
      </c>
      <c r="AE303" s="12" t="s">
        <v>144</v>
      </c>
      <c r="AF303" s="12" t="s">
        <v>171</v>
      </c>
      <c r="AI303" s="12" t="s">
        <v>206</v>
      </c>
      <c r="AJ303" s="12" t="s">
        <v>207</v>
      </c>
      <c r="AK303" s="12" t="s">
        <v>208</v>
      </c>
      <c r="AL303" s="12" t="s">
        <v>174</v>
      </c>
      <c r="AM303" s="12">
        <v>35</v>
      </c>
      <c r="AN303" t="s">
        <v>175</v>
      </c>
      <c r="AO303" s="12">
        <v>2</v>
      </c>
      <c r="AP303" t="s">
        <v>176</v>
      </c>
      <c r="AQ303" s="12" t="b">
        <v>1</v>
      </c>
      <c r="AR303" s="12" t="str">
        <f>HYPERLINK("https://www.google.com/search?q=Siemens","Siemens")</f>
        <v>Siemens</v>
      </c>
      <c r="BR303" s="12" t="s">
        <v>178</v>
      </c>
      <c r="BV303" s="12" t="s">
        <v>210</v>
      </c>
      <c r="CF303" s="12" t="s">
        <v>187</v>
      </c>
      <c r="CS303" s="12" t="s">
        <v>181</v>
      </c>
      <c r="DA303" s="12">
        <v>2</v>
      </c>
      <c r="DN303" s="12" t="b">
        <v>1</v>
      </c>
      <c r="DQ303">
        <f t="shared" si="218"/>
        <v>10</v>
      </c>
      <c r="DR303">
        <f t="shared" si="219"/>
        <v>1</v>
      </c>
      <c r="DS303" cm="1">
        <f t="array" ref="DS303">IF(AF303="&lt;0.2 ips",1,O.5)</f>
        <v>1</v>
      </c>
      <c r="DT303">
        <v>0.2</v>
      </c>
      <c r="DU303">
        <v>0.4</v>
      </c>
      <c r="DV303">
        <v>1</v>
      </c>
      <c r="DW303">
        <v>0.9</v>
      </c>
      <c r="DX303">
        <f t="shared" si="220"/>
        <v>0.8</v>
      </c>
      <c r="DY303">
        <f t="shared" si="221"/>
        <v>267.8389692799372</v>
      </c>
      <c r="DZ303">
        <f t="shared" si="222"/>
        <v>3.0575224803645801E-2</v>
      </c>
      <c r="EA303">
        <f t="shared" si="223"/>
        <v>0.4</v>
      </c>
    </row>
    <row r="304" spans="1:131" ht="90" hidden="1" x14ac:dyDescent="0.25">
      <c r="A304" t="s">
        <v>821</v>
      </c>
      <c r="B304" t="s">
        <v>732</v>
      </c>
      <c r="C304" t="s">
        <v>733</v>
      </c>
      <c r="D304" t="s">
        <v>814</v>
      </c>
      <c r="E304" t="s">
        <v>815</v>
      </c>
      <c r="F304" t="s">
        <v>134</v>
      </c>
      <c r="G304" t="s">
        <v>201</v>
      </c>
      <c r="H304" t="s">
        <v>212</v>
      </c>
      <c r="I304" t="s">
        <v>201</v>
      </c>
      <c r="L304" s="11" t="s">
        <v>773</v>
      </c>
      <c r="M304" t="s">
        <v>137</v>
      </c>
      <c r="N304" t="b">
        <v>0</v>
      </c>
      <c r="P304" s="12"/>
      <c r="Q304" s="12"/>
      <c r="T304" t="s">
        <v>203</v>
      </c>
      <c r="X304" s="12">
        <v>5800</v>
      </c>
      <c r="Y304" s="12">
        <v>660</v>
      </c>
      <c r="Z304" s="12">
        <v>1500</v>
      </c>
      <c r="AA304" s="12" t="s">
        <v>169</v>
      </c>
      <c r="AB304">
        <f t="shared" si="217"/>
        <v>125</v>
      </c>
      <c r="AC304" t="s">
        <v>148</v>
      </c>
      <c r="AE304" s="12" t="s">
        <v>144</v>
      </c>
      <c r="AF304" s="12" t="s">
        <v>171</v>
      </c>
      <c r="AI304" s="12" t="s">
        <v>206</v>
      </c>
      <c r="AJ304" s="12" t="s">
        <v>207</v>
      </c>
      <c r="AK304" s="12" t="s">
        <v>208</v>
      </c>
      <c r="AL304" s="12" t="s">
        <v>174</v>
      </c>
      <c r="AM304" s="12">
        <v>35</v>
      </c>
      <c r="AN304" t="s">
        <v>175</v>
      </c>
      <c r="AO304" s="12">
        <v>2</v>
      </c>
      <c r="AP304" t="s">
        <v>176</v>
      </c>
      <c r="AQ304" s="12" t="b">
        <v>1</v>
      </c>
      <c r="AR304" s="12" t="str">
        <f>HYPERLINK("https://www.google.com/search?q=Siemens","Siemens")</f>
        <v>Siemens</v>
      </c>
      <c r="BR304" s="12" t="s">
        <v>178</v>
      </c>
      <c r="BV304" s="12" t="s">
        <v>210</v>
      </c>
      <c r="CF304" s="12" t="s">
        <v>187</v>
      </c>
      <c r="CS304" s="12" t="s">
        <v>181</v>
      </c>
      <c r="DA304" s="12">
        <v>2</v>
      </c>
      <c r="DN304" s="12" t="b">
        <v>1</v>
      </c>
      <c r="DQ304">
        <f t="shared" si="218"/>
        <v>10</v>
      </c>
      <c r="DR304">
        <f t="shared" si="219"/>
        <v>1</v>
      </c>
      <c r="DS304" cm="1">
        <f t="array" ref="DS304">IF(AF304="&lt;0.2 ips",1,O.5)</f>
        <v>1</v>
      </c>
      <c r="DT304">
        <v>0.2</v>
      </c>
      <c r="DU304">
        <v>0.4</v>
      </c>
      <c r="DV304">
        <v>1</v>
      </c>
      <c r="DW304">
        <v>0.9</v>
      </c>
      <c r="DX304">
        <f t="shared" si="220"/>
        <v>0.8</v>
      </c>
      <c r="DY304">
        <f t="shared" si="221"/>
        <v>267.8389692799372</v>
      </c>
      <c r="DZ304">
        <f t="shared" si="222"/>
        <v>3.0575224803645801E-2</v>
      </c>
      <c r="EA304">
        <f t="shared" si="223"/>
        <v>0.4</v>
      </c>
    </row>
    <row r="305" spans="1:131" ht="120" hidden="1" x14ac:dyDescent="0.25">
      <c r="A305" t="s">
        <v>822</v>
      </c>
      <c r="B305" t="s">
        <v>732</v>
      </c>
      <c r="C305" t="s">
        <v>733</v>
      </c>
      <c r="D305" t="s">
        <v>814</v>
      </c>
      <c r="E305" t="s">
        <v>815</v>
      </c>
      <c r="F305" t="s">
        <v>778</v>
      </c>
      <c r="G305" t="s">
        <v>192</v>
      </c>
      <c r="H305" t="s">
        <v>141</v>
      </c>
      <c r="I305" t="s">
        <v>142</v>
      </c>
      <c r="L305" s="11" t="s">
        <v>779</v>
      </c>
      <c r="M305" t="s">
        <v>137</v>
      </c>
      <c r="N305" t="b">
        <v>0</v>
      </c>
      <c r="Y305" s="12"/>
      <c r="AE305" s="12" t="s">
        <v>205</v>
      </c>
      <c r="AI305" s="12" t="s">
        <v>206</v>
      </c>
      <c r="AJ305" s="12" t="s">
        <v>207</v>
      </c>
      <c r="AK305" s="12" t="s">
        <v>208</v>
      </c>
      <c r="AR305" s="12" t="str">
        <f>HYPERLINK("https://www.google.com/search?q=","")</f>
        <v/>
      </c>
      <c r="AS305">
        <v>300</v>
      </c>
      <c r="AT305" t="s">
        <v>148</v>
      </c>
      <c r="AU305">
        <v>1250</v>
      </c>
      <c r="AV305" t="s">
        <v>148</v>
      </c>
      <c r="AW305">
        <v>1300</v>
      </c>
      <c r="AX305" t="s">
        <v>148</v>
      </c>
      <c r="AY305" s="12">
        <v>280</v>
      </c>
      <c r="AZ305" t="s">
        <v>149</v>
      </c>
      <c r="BF305" s="12" t="s">
        <v>780</v>
      </c>
      <c r="BH305" s="12" t="s">
        <v>458</v>
      </c>
      <c r="BI305" s="12" t="s">
        <v>152</v>
      </c>
      <c r="BL305" s="12" t="s">
        <v>412</v>
      </c>
      <c r="BN305" s="12" t="s">
        <v>154</v>
      </c>
      <c r="BP305" s="12" t="s">
        <v>155</v>
      </c>
      <c r="BT305" s="12" t="s">
        <v>781</v>
      </c>
      <c r="BV305" s="12" t="s">
        <v>573</v>
      </c>
      <c r="BY305" s="12" t="s">
        <v>155</v>
      </c>
      <c r="CA305" s="12" t="s">
        <v>218</v>
      </c>
      <c r="CD305" s="12">
        <v>250</v>
      </c>
      <c r="CE305" t="s">
        <v>148</v>
      </c>
      <c r="CH305" s="12" t="s">
        <v>159</v>
      </c>
      <c r="CU305" s="12" t="s">
        <v>412</v>
      </c>
      <c r="DC305" s="12" t="b">
        <v>0</v>
      </c>
      <c r="DD305" s="12" t="s">
        <v>626</v>
      </c>
      <c r="DG305" s="12" t="s">
        <v>459</v>
      </c>
      <c r="DV305">
        <f t="shared" ref="DV305:DV309" si="224">IF(AA307="Horizontal",1,0.5)</f>
        <v>0.5</v>
      </c>
    </row>
    <row r="306" spans="1:131" hidden="1" x14ac:dyDescent="0.25">
      <c r="A306" t="s">
        <v>823</v>
      </c>
      <c r="B306" t="s">
        <v>732</v>
      </c>
      <c r="C306" t="s">
        <v>733</v>
      </c>
      <c r="D306" t="s">
        <v>824</v>
      </c>
      <c r="E306" t="s">
        <v>825</v>
      </c>
      <c r="F306" t="s">
        <v>736</v>
      </c>
      <c r="G306" t="s">
        <v>618</v>
      </c>
      <c r="H306" t="s">
        <v>354</v>
      </c>
      <c r="I306" t="s">
        <v>355</v>
      </c>
      <c r="M306" t="s">
        <v>137</v>
      </c>
      <c r="N306" t="b">
        <v>0</v>
      </c>
      <c r="AR306" s="12" t="str">
        <f>HYPERLINK("https://www.google.com/search?q=","")</f>
        <v/>
      </c>
      <c r="CC306" s="12" t="b">
        <v>1</v>
      </c>
      <c r="CI306" s="12"/>
      <c r="CJ306" s="12" t="s">
        <v>609</v>
      </c>
      <c r="CK306" s="12" t="s">
        <v>610</v>
      </c>
      <c r="CL306" s="12"/>
      <c r="CM306" s="12"/>
      <c r="CN306" t="s">
        <v>356</v>
      </c>
      <c r="CO306" s="12" t="s">
        <v>620</v>
      </c>
      <c r="DD306" s="12" t="s">
        <v>155</v>
      </c>
      <c r="DG306" s="12" t="s">
        <v>737</v>
      </c>
      <c r="DV306">
        <f t="shared" si="224"/>
        <v>0.5</v>
      </c>
    </row>
    <row r="307" spans="1:131" ht="180" hidden="1" x14ac:dyDescent="0.25">
      <c r="A307" t="s">
        <v>826</v>
      </c>
      <c r="B307" t="s">
        <v>732</v>
      </c>
      <c r="C307" t="s">
        <v>733</v>
      </c>
      <c r="D307" t="s">
        <v>824</v>
      </c>
      <c r="E307" t="s">
        <v>825</v>
      </c>
      <c r="F307" t="s">
        <v>736</v>
      </c>
      <c r="G307" t="s">
        <v>618</v>
      </c>
      <c r="H307" t="s">
        <v>166</v>
      </c>
      <c r="I307" t="s">
        <v>739</v>
      </c>
      <c r="L307" s="11" t="s">
        <v>740</v>
      </c>
      <c r="M307" t="s">
        <v>137</v>
      </c>
      <c r="N307" t="b">
        <v>0</v>
      </c>
      <c r="P307" s="12"/>
      <c r="Q307" s="12"/>
      <c r="Z307" s="12"/>
      <c r="AE307" s="12" t="s">
        <v>144</v>
      </c>
      <c r="AI307" s="12" t="s">
        <v>206</v>
      </c>
      <c r="AJ307" s="12" t="s">
        <v>207</v>
      </c>
      <c r="AK307" s="12" t="s">
        <v>208</v>
      </c>
      <c r="AR307" s="12" t="str">
        <f>HYPERLINK("https://www.google.com/search?q=HAZLETON","HAZLETON")</f>
        <v>HAZLETON</v>
      </c>
      <c r="BL307" s="16" t="s">
        <v>339</v>
      </c>
      <c r="BN307" s="12" t="s">
        <v>154</v>
      </c>
      <c r="CA307" s="12" t="s">
        <v>218</v>
      </c>
      <c r="DD307" t="s">
        <v>626</v>
      </c>
      <c r="DV307">
        <f t="shared" si="224"/>
        <v>0.5</v>
      </c>
    </row>
    <row r="308" spans="1:131" ht="240" hidden="1" x14ac:dyDescent="0.25">
      <c r="A308" t="s">
        <v>827</v>
      </c>
      <c r="B308" t="s">
        <v>732</v>
      </c>
      <c r="C308" t="s">
        <v>733</v>
      </c>
      <c r="D308" t="s">
        <v>824</v>
      </c>
      <c r="E308" t="s">
        <v>825</v>
      </c>
      <c r="F308" t="s">
        <v>736</v>
      </c>
      <c r="G308" t="s">
        <v>618</v>
      </c>
      <c r="H308" t="s">
        <v>359</v>
      </c>
      <c r="I308" t="s">
        <v>663</v>
      </c>
      <c r="L308" s="11" t="s">
        <v>769</v>
      </c>
      <c r="M308" t="s">
        <v>137</v>
      </c>
      <c r="N308" t="b">
        <v>0</v>
      </c>
      <c r="AI308" s="12" t="s">
        <v>206</v>
      </c>
      <c r="AJ308" s="12" t="s">
        <v>207</v>
      </c>
      <c r="AK308" s="12" t="s">
        <v>208</v>
      </c>
      <c r="AS308">
        <v>300</v>
      </c>
      <c r="AT308" t="s">
        <v>148</v>
      </c>
      <c r="AU308">
        <v>450</v>
      </c>
      <c r="AV308" t="s">
        <v>148</v>
      </c>
      <c r="AW308">
        <v>700</v>
      </c>
      <c r="AX308" t="s">
        <v>148</v>
      </c>
      <c r="AY308" s="12">
        <v>130</v>
      </c>
      <c r="AZ308" t="s">
        <v>149</v>
      </c>
      <c r="BL308" s="12" t="s">
        <v>153</v>
      </c>
      <c r="BN308" s="12" t="s">
        <v>154</v>
      </c>
      <c r="BP308" s="12" t="s">
        <v>155</v>
      </c>
      <c r="BT308" s="12" t="s">
        <v>604</v>
      </c>
      <c r="BV308" s="12" t="s">
        <v>743</v>
      </c>
      <c r="BY308" s="12" t="s">
        <v>155</v>
      </c>
      <c r="CA308" s="12" t="s">
        <v>218</v>
      </c>
      <c r="CD308" s="12">
        <v>200</v>
      </c>
      <c r="CE308" t="s">
        <v>148</v>
      </c>
      <c r="CH308" s="15" t="s">
        <v>577</v>
      </c>
      <c r="CU308" s="12" t="s">
        <v>578</v>
      </c>
      <c r="DC308" s="12" t="b">
        <v>0</v>
      </c>
      <c r="DD308" s="12" t="s">
        <v>626</v>
      </c>
      <c r="DG308" s="12"/>
      <c r="DL308" t="s">
        <v>629</v>
      </c>
      <c r="DP308" s="12">
        <v>3</v>
      </c>
      <c r="DV308">
        <f t="shared" si="224"/>
        <v>1</v>
      </c>
    </row>
    <row r="309" spans="1:131" ht="330" hidden="1" x14ac:dyDescent="0.25">
      <c r="A309" t="s">
        <v>828</v>
      </c>
      <c r="B309" t="s">
        <v>732</v>
      </c>
      <c r="C309" t="s">
        <v>733</v>
      </c>
      <c r="D309" t="s">
        <v>824</v>
      </c>
      <c r="E309" t="s">
        <v>825</v>
      </c>
      <c r="F309" t="s">
        <v>736</v>
      </c>
      <c r="G309" t="s">
        <v>618</v>
      </c>
      <c r="H309" t="s">
        <v>612</v>
      </c>
      <c r="I309" t="s">
        <v>613</v>
      </c>
      <c r="L309" s="11" t="s">
        <v>745</v>
      </c>
      <c r="M309" t="s">
        <v>137</v>
      </c>
      <c r="N309" t="b">
        <v>0</v>
      </c>
      <c r="CA309" s="12" t="s">
        <v>218</v>
      </c>
      <c r="DV309">
        <f t="shared" si="224"/>
        <v>1</v>
      </c>
    </row>
    <row r="310" spans="1:131" ht="90" hidden="1" x14ac:dyDescent="0.25">
      <c r="A310" t="s">
        <v>829</v>
      </c>
      <c r="B310" t="s">
        <v>732</v>
      </c>
      <c r="C310" t="s">
        <v>733</v>
      </c>
      <c r="D310" t="s">
        <v>824</v>
      </c>
      <c r="E310" t="s">
        <v>825</v>
      </c>
      <c r="F310" t="s">
        <v>134</v>
      </c>
      <c r="G310" t="s">
        <v>201</v>
      </c>
      <c r="H310" t="s">
        <v>772</v>
      </c>
      <c r="I310" t="s">
        <v>201</v>
      </c>
      <c r="L310" s="11" t="s">
        <v>773</v>
      </c>
      <c r="M310" t="s">
        <v>137</v>
      </c>
      <c r="N310" t="b">
        <v>0</v>
      </c>
      <c r="P310" s="12"/>
      <c r="Q310" s="12"/>
      <c r="T310" t="s">
        <v>203</v>
      </c>
      <c r="X310" s="12">
        <v>5800</v>
      </c>
      <c r="Y310" s="12">
        <v>660</v>
      </c>
      <c r="Z310" s="12">
        <v>1500</v>
      </c>
      <c r="AA310" s="12" t="s">
        <v>169</v>
      </c>
      <c r="AB310">
        <f t="shared" ref="AB310:AB312" si="225">25*5</f>
        <v>125</v>
      </c>
      <c r="AC310" t="s">
        <v>148</v>
      </c>
      <c r="AE310" s="12" t="s">
        <v>144</v>
      </c>
      <c r="AF310" s="12" t="s">
        <v>171</v>
      </c>
      <c r="AI310" s="12" t="s">
        <v>206</v>
      </c>
      <c r="AJ310" s="12" t="s">
        <v>207</v>
      </c>
      <c r="AK310" s="12" t="s">
        <v>208</v>
      </c>
      <c r="AL310" s="12" t="s">
        <v>174</v>
      </c>
      <c r="AM310" s="12">
        <v>35</v>
      </c>
      <c r="AN310" t="s">
        <v>175</v>
      </c>
      <c r="AO310" s="12">
        <v>2</v>
      </c>
      <c r="AP310" t="s">
        <v>176</v>
      </c>
      <c r="AQ310" s="12" t="b">
        <v>1</v>
      </c>
      <c r="AR310" s="12" t="str">
        <f>HYPERLINK("https://www.google.com/search?q=Siemens","Siemens")</f>
        <v>Siemens</v>
      </c>
      <c r="BR310" s="12" t="s">
        <v>155</v>
      </c>
      <c r="BV310" s="12" t="s">
        <v>210</v>
      </c>
      <c r="CF310" s="12" t="s">
        <v>187</v>
      </c>
      <c r="CS310" s="12" t="s">
        <v>181</v>
      </c>
      <c r="DA310" s="12">
        <v>2</v>
      </c>
      <c r="DN310" s="12" t="b">
        <v>1</v>
      </c>
      <c r="DQ310">
        <f t="shared" ref="DQ310:DQ312" si="226">IF(T310="Ball",10,0)</f>
        <v>10</v>
      </c>
      <c r="DR310">
        <f t="shared" ref="DR310:DR312" si="227">IF(AE310="125°F (51.7°C) - 150°F (65.6°C)",1,0.5)</f>
        <v>1</v>
      </c>
      <c r="DS310" cm="1">
        <f t="array" ref="DS310">IF(AF310="&lt;0.2 ips",1,O.5)</f>
        <v>1</v>
      </c>
      <c r="DT310">
        <v>0.2</v>
      </c>
      <c r="DU310">
        <v>0.4</v>
      </c>
      <c r="DV310">
        <v>1</v>
      </c>
      <c r="DW310">
        <v>0.9</v>
      </c>
      <c r="DX310">
        <f t="shared" ref="DX310:DX312" si="228">PRODUCT(DQ310:DV310)</f>
        <v>0.8</v>
      </c>
      <c r="DY310">
        <f t="shared" ref="DY310:DY312" si="229">+DX310*((14000000/(Z310*AB310^0.5))-4*AB310)</f>
        <v>267.8389692799372</v>
      </c>
      <c r="DZ310">
        <f t="shared" ref="DZ310:DZ312" si="230">+DY310/8760</f>
        <v>3.0575224803645801E-2</v>
      </c>
      <c r="EA310">
        <f t="shared" ref="EA310:EA312" si="231">ROUND(+DZ310*12,1)</f>
        <v>0.4</v>
      </c>
    </row>
    <row r="311" spans="1:131" ht="90" hidden="1" x14ac:dyDescent="0.25">
      <c r="A311" t="s">
        <v>830</v>
      </c>
      <c r="B311" t="s">
        <v>732</v>
      </c>
      <c r="C311" t="s">
        <v>733</v>
      </c>
      <c r="D311" t="s">
        <v>824</v>
      </c>
      <c r="E311" t="s">
        <v>825</v>
      </c>
      <c r="F311" t="s">
        <v>134</v>
      </c>
      <c r="G311" t="s">
        <v>201</v>
      </c>
      <c r="H311" t="s">
        <v>775</v>
      </c>
      <c r="I311" t="s">
        <v>201</v>
      </c>
      <c r="L311" s="11" t="s">
        <v>773</v>
      </c>
      <c r="M311" t="s">
        <v>137</v>
      </c>
      <c r="N311" t="b">
        <v>0</v>
      </c>
      <c r="P311" s="12"/>
      <c r="Q311" s="12"/>
      <c r="T311" t="s">
        <v>203</v>
      </c>
      <c r="X311" s="12">
        <v>5800</v>
      </c>
      <c r="Y311" s="12">
        <v>660</v>
      </c>
      <c r="Z311" s="12">
        <v>1500</v>
      </c>
      <c r="AA311" s="12" t="s">
        <v>169</v>
      </c>
      <c r="AB311">
        <f t="shared" si="225"/>
        <v>125</v>
      </c>
      <c r="AC311" t="s">
        <v>148</v>
      </c>
      <c r="AE311" s="12" t="s">
        <v>144</v>
      </c>
      <c r="AF311" s="12" t="s">
        <v>171</v>
      </c>
      <c r="AI311" s="12" t="s">
        <v>206</v>
      </c>
      <c r="AJ311" s="12" t="s">
        <v>207</v>
      </c>
      <c r="AK311" s="12" t="s">
        <v>208</v>
      </c>
      <c r="AL311" s="12" t="s">
        <v>174</v>
      </c>
      <c r="AM311" s="12">
        <v>35</v>
      </c>
      <c r="AN311" t="s">
        <v>175</v>
      </c>
      <c r="AO311" s="12">
        <v>2</v>
      </c>
      <c r="AP311" t="s">
        <v>176</v>
      </c>
      <c r="AQ311" s="12" t="b">
        <v>1</v>
      </c>
      <c r="AR311" s="12" t="str">
        <f>HYPERLINK("https://www.google.com/search?q=Siemens","Siemens")</f>
        <v>Siemens</v>
      </c>
      <c r="BR311" s="12" t="s">
        <v>155</v>
      </c>
      <c r="BV311" s="12" t="s">
        <v>210</v>
      </c>
      <c r="CF311" s="12" t="s">
        <v>187</v>
      </c>
      <c r="CS311" s="12" t="s">
        <v>181</v>
      </c>
      <c r="DA311" s="12">
        <v>2</v>
      </c>
      <c r="DN311" s="12" t="b">
        <v>1</v>
      </c>
      <c r="DQ311">
        <f t="shared" si="226"/>
        <v>10</v>
      </c>
      <c r="DR311">
        <f t="shared" si="227"/>
        <v>1</v>
      </c>
      <c r="DS311" cm="1">
        <f t="array" ref="DS311">IF(AF311="&lt;0.2 ips",1,O.5)</f>
        <v>1</v>
      </c>
      <c r="DT311">
        <v>0.2</v>
      </c>
      <c r="DU311">
        <v>0.4</v>
      </c>
      <c r="DV311">
        <v>1</v>
      </c>
      <c r="DW311">
        <v>0.9</v>
      </c>
      <c r="DX311">
        <f t="shared" si="228"/>
        <v>0.8</v>
      </c>
      <c r="DY311">
        <f t="shared" si="229"/>
        <v>267.8389692799372</v>
      </c>
      <c r="DZ311">
        <f t="shared" si="230"/>
        <v>3.0575224803645801E-2</v>
      </c>
      <c r="EA311">
        <f t="shared" si="231"/>
        <v>0.4</v>
      </c>
    </row>
    <row r="312" spans="1:131" ht="90" hidden="1" x14ac:dyDescent="0.25">
      <c r="A312" t="s">
        <v>831</v>
      </c>
      <c r="B312" t="s">
        <v>732</v>
      </c>
      <c r="C312" t="s">
        <v>733</v>
      </c>
      <c r="D312" t="s">
        <v>824</v>
      </c>
      <c r="E312" t="s">
        <v>825</v>
      </c>
      <c r="F312" t="s">
        <v>134</v>
      </c>
      <c r="G312" t="s">
        <v>201</v>
      </c>
      <c r="H312" t="s">
        <v>212</v>
      </c>
      <c r="I312" t="s">
        <v>201</v>
      </c>
      <c r="L312" s="11" t="s">
        <v>773</v>
      </c>
      <c r="M312" t="s">
        <v>137</v>
      </c>
      <c r="N312" t="b">
        <v>0</v>
      </c>
      <c r="P312" s="12"/>
      <c r="Q312" s="12"/>
      <c r="T312" t="s">
        <v>203</v>
      </c>
      <c r="X312" s="12">
        <v>5800</v>
      </c>
      <c r="Y312" s="12">
        <v>660</v>
      </c>
      <c r="Z312" s="12">
        <v>1500</v>
      </c>
      <c r="AA312" s="12" t="s">
        <v>169</v>
      </c>
      <c r="AB312">
        <f t="shared" si="225"/>
        <v>125</v>
      </c>
      <c r="AC312" t="s">
        <v>148</v>
      </c>
      <c r="AE312" s="12" t="s">
        <v>144</v>
      </c>
      <c r="AF312" s="12" t="s">
        <v>171</v>
      </c>
      <c r="AI312" s="12" t="s">
        <v>206</v>
      </c>
      <c r="AJ312" s="12" t="s">
        <v>207</v>
      </c>
      <c r="AK312" s="12" t="s">
        <v>208</v>
      </c>
      <c r="AL312" s="12" t="s">
        <v>174</v>
      </c>
      <c r="AM312" s="12">
        <v>35</v>
      </c>
      <c r="AN312" t="s">
        <v>175</v>
      </c>
      <c r="AO312" s="12">
        <v>2</v>
      </c>
      <c r="AP312" t="s">
        <v>176</v>
      </c>
      <c r="AQ312" s="12" t="b">
        <v>1</v>
      </c>
      <c r="AR312" s="12" t="str">
        <f>HYPERLINK("https://www.google.com/search?q=Siemens","Siemens")</f>
        <v>Siemens</v>
      </c>
      <c r="BR312" s="12" t="s">
        <v>155</v>
      </c>
      <c r="BV312" s="12" t="s">
        <v>210</v>
      </c>
      <c r="CF312" s="12" t="s">
        <v>187</v>
      </c>
      <c r="CS312" s="12" t="s">
        <v>181</v>
      </c>
      <c r="DA312" s="12">
        <v>2</v>
      </c>
      <c r="DN312" s="12" t="b">
        <v>1</v>
      </c>
      <c r="DQ312">
        <f t="shared" si="226"/>
        <v>10</v>
      </c>
      <c r="DR312">
        <f t="shared" si="227"/>
        <v>1</v>
      </c>
      <c r="DS312" cm="1">
        <f t="array" ref="DS312">IF(AF312="&lt;0.2 ips",1,O.5)</f>
        <v>1</v>
      </c>
      <c r="DT312">
        <v>0.2</v>
      </c>
      <c r="DU312">
        <v>0.4</v>
      </c>
      <c r="DV312">
        <v>1</v>
      </c>
      <c r="DW312">
        <v>0.9</v>
      </c>
      <c r="DX312">
        <f t="shared" si="228"/>
        <v>0.8</v>
      </c>
      <c r="DY312">
        <f t="shared" si="229"/>
        <v>267.8389692799372</v>
      </c>
      <c r="DZ312">
        <f t="shared" si="230"/>
        <v>3.0575224803645801E-2</v>
      </c>
      <c r="EA312">
        <f t="shared" si="231"/>
        <v>0.4</v>
      </c>
    </row>
    <row r="313" spans="1:131" ht="300" hidden="1" x14ac:dyDescent="0.25">
      <c r="A313" t="s">
        <v>832</v>
      </c>
      <c r="B313" t="s">
        <v>732</v>
      </c>
      <c r="C313" t="s">
        <v>733</v>
      </c>
      <c r="D313" t="s">
        <v>824</v>
      </c>
      <c r="E313" t="s">
        <v>825</v>
      </c>
      <c r="F313" t="s">
        <v>778</v>
      </c>
      <c r="G313" t="s">
        <v>192</v>
      </c>
      <c r="H313" t="s">
        <v>141</v>
      </c>
      <c r="I313" t="s">
        <v>142</v>
      </c>
      <c r="L313" s="11" t="s">
        <v>833</v>
      </c>
      <c r="M313" t="s">
        <v>137</v>
      </c>
      <c r="N313" t="b">
        <v>0</v>
      </c>
      <c r="Y313" s="12"/>
      <c r="AE313" s="12" t="s">
        <v>205</v>
      </c>
      <c r="AI313" s="12" t="s">
        <v>206</v>
      </c>
      <c r="AJ313" s="12" t="s">
        <v>207</v>
      </c>
      <c r="AK313" s="12" t="s">
        <v>208</v>
      </c>
      <c r="AR313" s="12" t="str">
        <f>HYPERLINK("https://www.google.com/search?q=","")</f>
        <v/>
      </c>
      <c r="AS313">
        <v>300</v>
      </c>
      <c r="AT313" t="s">
        <v>148</v>
      </c>
      <c r="AU313">
        <v>1250</v>
      </c>
      <c r="AV313" t="s">
        <v>148</v>
      </c>
      <c r="AW313">
        <v>1300</v>
      </c>
      <c r="AX313" t="s">
        <v>148</v>
      </c>
      <c r="AY313" s="12">
        <v>280</v>
      </c>
      <c r="AZ313" t="s">
        <v>149</v>
      </c>
      <c r="BF313" s="12" t="s">
        <v>780</v>
      </c>
      <c r="BH313" s="12" t="s">
        <v>458</v>
      </c>
      <c r="BI313" s="12" t="s">
        <v>152</v>
      </c>
      <c r="BL313" s="12" t="s">
        <v>412</v>
      </c>
      <c r="BN313" s="12" t="s">
        <v>154</v>
      </c>
      <c r="BP313" s="12" t="s">
        <v>155</v>
      </c>
      <c r="BT313" s="12" t="s">
        <v>781</v>
      </c>
      <c r="BV313" s="12" t="s">
        <v>573</v>
      </c>
      <c r="BY313" s="12" t="s">
        <v>155</v>
      </c>
      <c r="CA313" s="12" t="s">
        <v>218</v>
      </c>
      <c r="CD313" s="12">
        <v>250</v>
      </c>
      <c r="CE313" t="s">
        <v>148</v>
      </c>
      <c r="CH313" s="12" t="s">
        <v>159</v>
      </c>
      <c r="CU313" s="12" t="s">
        <v>412</v>
      </c>
      <c r="DC313" s="12" t="b">
        <v>0</v>
      </c>
      <c r="DD313" s="12" t="s">
        <v>626</v>
      </c>
      <c r="DG313" s="12" t="s">
        <v>459</v>
      </c>
      <c r="DV313">
        <f t="shared" ref="DV313:DV317" si="232">IF(AA315="Horizontal",1,0.5)</f>
        <v>0.5</v>
      </c>
    </row>
    <row r="314" spans="1:131" hidden="1" x14ac:dyDescent="0.25">
      <c r="A314" t="s">
        <v>834</v>
      </c>
      <c r="B314" t="s">
        <v>732</v>
      </c>
      <c r="C314" t="s">
        <v>733</v>
      </c>
      <c r="D314" t="s">
        <v>835</v>
      </c>
      <c r="E314" t="s">
        <v>836</v>
      </c>
      <c r="F314" t="s">
        <v>736</v>
      </c>
      <c r="G314" t="s">
        <v>618</v>
      </c>
      <c r="H314" t="s">
        <v>354</v>
      </c>
      <c r="I314" t="s">
        <v>355</v>
      </c>
      <c r="M314" t="s">
        <v>137</v>
      </c>
      <c r="N314" t="b">
        <v>0</v>
      </c>
      <c r="AR314" s="12" t="str">
        <f>HYPERLINK("https://www.google.com/search?q=","")</f>
        <v/>
      </c>
      <c r="CC314" s="12" t="b">
        <v>1</v>
      </c>
      <c r="CI314" s="12"/>
      <c r="CJ314" s="12" t="s">
        <v>609</v>
      </c>
      <c r="CK314" s="12" t="s">
        <v>610</v>
      </c>
      <c r="CL314" s="12"/>
      <c r="CM314" s="12"/>
      <c r="CN314" t="s">
        <v>356</v>
      </c>
      <c r="CO314" s="12" t="s">
        <v>620</v>
      </c>
      <c r="DD314" s="12" t="s">
        <v>155</v>
      </c>
      <c r="DG314" s="12" t="s">
        <v>737</v>
      </c>
      <c r="DV314">
        <f t="shared" si="232"/>
        <v>0.5</v>
      </c>
    </row>
    <row r="315" spans="1:131" ht="180" hidden="1" x14ac:dyDescent="0.25">
      <c r="A315" t="s">
        <v>837</v>
      </c>
      <c r="B315" t="s">
        <v>732</v>
      </c>
      <c r="C315" t="s">
        <v>733</v>
      </c>
      <c r="D315" t="s">
        <v>835</v>
      </c>
      <c r="E315" t="s">
        <v>836</v>
      </c>
      <c r="F315" t="s">
        <v>736</v>
      </c>
      <c r="G315" t="s">
        <v>618</v>
      </c>
      <c r="H315" t="s">
        <v>166</v>
      </c>
      <c r="I315" t="s">
        <v>739</v>
      </c>
      <c r="L315" s="11" t="s">
        <v>740</v>
      </c>
      <c r="M315" t="s">
        <v>137</v>
      </c>
      <c r="N315" t="b">
        <v>0</v>
      </c>
      <c r="P315" s="12"/>
      <c r="Q315" s="12"/>
      <c r="Z315" s="12"/>
      <c r="AE315" s="12" t="s">
        <v>144</v>
      </c>
      <c r="AI315" s="12" t="s">
        <v>206</v>
      </c>
      <c r="AJ315" s="12" t="s">
        <v>207</v>
      </c>
      <c r="AK315" s="12" t="s">
        <v>208</v>
      </c>
      <c r="AR315" s="12" t="str">
        <f>HYPERLINK("https://www.google.com/search?q=HAZLETON","HAZLETON")</f>
        <v>HAZLETON</v>
      </c>
      <c r="BL315" s="16" t="s">
        <v>339</v>
      </c>
      <c r="BN315" s="12" t="s">
        <v>154</v>
      </c>
      <c r="CA315" s="12" t="s">
        <v>218</v>
      </c>
      <c r="DD315" t="s">
        <v>626</v>
      </c>
      <c r="DV315">
        <f t="shared" si="232"/>
        <v>0.5</v>
      </c>
    </row>
    <row r="316" spans="1:131" ht="240" hidden="1" x14ac:dyDescent="0.25">
      <c r="A316" t="s">
        <v>838</v>
      </c>
      <c r="B316" t="s">
        <v>732</v>
      </c>
      <c r="C316" t="s">
        <v>733</v>
      </c>
      <c r="D316" t="s">
        <v>835</v>
      </c>
      <c r="E316" t="s">
        <v>836</v>
      </c>
      <c r="F316" t="s">
        <v>736</v>
      </c>
      <c r="G316" t="s">
        <v>618</v>
      </c>
      <c r="H316" t="s">
        <v>359</v>
      </c>
      <c r="I316" t="s">
        <v>663</v>
      </c>
      <c r="L316" s="11" t="s">
        <v>769</v>
      </c>
      <c r="M316" t="s">
        <v>137</v>
      </c>
      <c r="N316" t="b">
        <v>0</v>
      </c>
      <c r="AI316" s="12" t="s">
        <v>206</v>
      </c>
      <c r="AJ316" s="12" t="s">
        <v>207</v>
      </c>
      <c r="AK316" s="12" t="s">
        <v>208</v>
      </c>
      <c r="AS316">
        <v>300</v>
      </c>
      <c r="AT316" t="s">
        <v>148</v>
      </c>
      <c r="AU316">
        <v>450</v>
      </c>
      <c r="AV316" t="s">
        <v>148</v>
      </c>
      <c r="AW316">
        <v>700</v>
      </c>
      <c r="AX316" t="s">
        <v>148</v>
      </c>
      <c r="AY316" s="12">
        <v>130</v>
      </c>
      <c r="AZ316" t="s">
        <v>149</v>
      </c>
      <c r="BL316" s="12" t="s">
        <v>153</v>
      </c>
      <c r="BN316" s="12" t="s">
        <v>154</v>
      </c>
      <c r="BP316" s="12" t="s">
        <v>155</v>
      </c>
      <c r="BT316" s="12" t="s">
        <v>604</v>
      </c>
      <c r="BV316" s="12" t="s">
        <v>743</v>
      </c>
      <c r="BY316" s="12" t="s">
        <v>155</v>
      </c>
      <c r="CA316" s="12" t="s">
        <v>218</v>
      </c>
      <c r="CD316" s="12">
        <v>200</v>
      </c>
      <c r="CE316" t="s">
        <v>148</v>
      </c>
      <c r="CH316" s="15" t="s">
        <v>577</v>
      </c>
      <c r="CU316" s="12" t="s">
        <v>578</v>
      </c>
      <c r="DC316" s="12" t="b">
        <v>0</v>
      </c>
      <c r="DD316" s="12" t="s">
        <v>626</v>
      </c>
      <c r="DG316" s="12"/>
      <c r="DL316" t="s">
        <v>629</v>
      </c>
      <c r="DP316" s="12">
        <v>3</v>
      </c>
      <c r="DV316">
        <f t="shared" si="232"/>
        <v>1</v>
      </c>
    </row>
    <row r="317" spans="1:131" hidden="1" x14ac:dyDescent="0.25">
      <c r="A317" t="s">
        <v>839</v>
      </c>
      <c r="B317" t="s">
        <v>732</v>
      </c>
      <c r="C317" t="s">
        <v>733</v>
      </c>
      <c r="D317" t="s">
        <v>835</v>
      </c>
      <c r="E317" t="s">
        <v>836</v>
      </c>
      <c r="F317" t="s">
        <v>736</v>
      </c>
      <c r="G317" t="s">
        <v>618</v>
      </c>
      <c r="H317" t="s">
        <v>612</v>
      </c>
      <c r="I317" t="s">
        <v>613</v>
      </c>
      <c r="L317" t="s">
        <v>840</v>
      </c>
      <c r="M317" t="s">
        <v>137</v>
      </c>
      <c r="N317" t="b">
        <v>0</v>
      </c>
      <c r="CA317" s="12" t="s">
        <v>218</v>
      </c>
      <c r="DV317">
        <f t="shared" si="232"/>
        <v>1</v>
      </c>
    </row>
    <row r="318" spans="1:131" ht="90" hidden="1" x14ac:dyDescent="0.25">
      <c r="A318" t="s">
        <v>841</v>
      </c>
      <c r="B318" t="s">
        <v>732</v>
      </c>
      <c r="C318" t="s">
        <v>733</v>
      </c>
      <c r="D318" t="s">
        <v>835</v>
      </c>
      <c r="E318" t="s">
        <v>836</v>
      </c>
      <c r="F318" t="s">
        <v>134</v>
      </c>
      <c r="G318" t="s">
        <v>201</v>
      </c>
      <c r="H318" t="s">
        <v>772</v>
      </c>
      <c r="I318" t="s">
        <v>201</v>
      </c>
      <c r="L318" s="11" t="s">
        <v>773</v>
      </c>
      <c r="M318" t="s">
        <v>137</v>
      </c>
      <c r="N318" t="b">
        <v>0</v>
      </c>
      <c r="P318" s="12"/>
      <c r="Q318" s="12"/>
      <c r="T318" t="s">
        <v>203</v>
      </c>
      <c r="X318" s="12">
        <v>5800</v>
      </c>
      <c r="Y318" s="12">
        <v>660</v>
      </c>
      <c r="Z318" s="12">
        <v>1500</v>
      </c>
      <c r="AA318" s="12" t="s">
        <v>169</v>
      </c>
      <c r="AB318">
        <f t="shared" ref="AB318:AB320" si="233">25*5</f>
        <v>125</v>
      </c>
      <c r="AC318" t="s">
        <v>148</v>
      </c>
      <c r="AE318" s="12" t="s">
        <v>144</v>
      </c>
      <c r="AF318" s="12" t="s">
        <v>171</v>
      </c>
      <c r="AI318" s="12" t="s">
        <v>206</v>
      </c>
      <c r="AJ318" s="12" t="s">
        <v>207</v>
      </c>
      <c r="AK318" s="12" t="s">
        <v>208</v>
      </c>
      <c r="AL318" s="12" t="s">
        <v>174</v>
      </c>
      <c r="AM318" s="12">
        <v>35</v>
      </c>
      <c r="AN318" t="s">
        <v>175</v>
      </c>
      <c r="AO318" s="12">
        <v>2</v>
      </c>
      <c r="AP318" t="s">
        <v>176</v>
      </c>
      <c r="AQ318" s="12" t="b">
        <v>1</v>
      </c>
      <c r="AR318" s="12" t="str">
        <f>HYPERLINK("https://www.google.com/search?q=Siemens","Siemens")</f>
        <v>Siemens</v>
      </c>
      <c r="BR318" s="12" t="s">
        <v>178</v>
      </c>
      <c r="BV318" s="12" t="s">
        <v>210</v>
      </c>
      <c r="CF318" s="12" t="s">
        <v>187</v>
      </c>
      <c r="CS318" s="12" t="s">
        <v>181</v>
      </c>
      <c r="DA318" s="12">
        <v>2</v>
      </c>
      <c r="DN318" s="12" t="b">
        <v>1</v>
      </c>
      <c r="DQ318">
        <f t="shared" ref="DQ318:DQ320" si="234">IF(T318="Ball",10,0)</f>
        <v>10</v>
      </c>
      <c r="DR318">
        <f t="shared" ref="DR318:DR320" si="235">IF(AE318="125°F (51.7°C) - 150°F (65.6°C)",1,0.5)</f>
        <v>1</v>
      </c>
      <c r="DS318" cm="1">
        <f t="array" ref="DS318">IF(AF318="&lt;0.2 ips",1,O.5)</f>
        <v>1</v>
      </c>
      <c r="DT318">
        <v>0.2</v>
      </c>
      <c r="DU318">
        <v>0.4</v>
      </c>
      <c r="DV318">
        <v>1</v>
      </c>
      <c r="DW318">
        <v>0.9</v>
      </c>
      <c r="DX318">
        <f t="shared" ref="DX318:DX320" si="236">PRODUCT(DQ318:DV318)</f>
        <v>0.8</v>
      </c>
      <c r="DY318">
        <f t="shared" ref="DY318:DY320" si="237">+DX318*((14000000/(Z318*AB318^0.5))-4*AB318)</f>
        <v>267.8389692799372</v>
      </c>
      <c r="DZ318">
        <f t="shared" ref="DZ318:DZ320" si="238">+DY318/8760</f>
        <v>3.0575224803645801E-2</v>
      </c>
      <c r="EA318">
        <f t="shared" ref="EA318:EA320" si="239">ROUND(+DZ318*12,1)</f>
        <v>0.4</v>
      </c>
    </row>
    <row r="319" spans="1:131" ht="90" hidden="1" x14ac:dyDescent="0.25">
      <c r="A319" t="s">
        <v>842</v>
      </c>
      <c r="B319" t="s">
        <v>732</v>
      </c>
      <c r="C319" t="s">
        <v>733</v>
      </c>
      <c r="D319" t="s">
        <v>835</v>
      </c>
      <c r="E319" t="s">
        <v>836</v>
      </c>
      <c r="F319" t="s">
        <v>134</v>
      </c>
      <c r="G319" t="s">
        <v>201</v>
      </c>
      <c r="H319" t="s">
        <v>775</v>
      </c>
      <c r="I319" t="s">
        <v>201</v>
      </c>
      <c r="L319" s="11" t="s">
        <v>773</v>
      </c>
      <c r="M319" t="s">
        <v>137</v>
      </c>
      <c r="N319" t="b">
        <v>0</v>
      </c>
      <c r="P319" s="12"/>
      <c r="Q319" s="12"/>
      <c r="T319" t="s">
        <v>203</v>
      </c>
      <c r="X319" s="12">
        <v>5800</v>
      </c>
      <c r="Y319" s="12">
        <v>660</v>
      </c>
      <c r="Z319" s="12">
        <v>1500</v>
      </c>
      <c r="AA319" s="12" t="s">
        <v>169</v>
      </c>
      <c r="AB319">
        <f t="shared" si="233"/>
        <v>125</v>
      </c>
      <c r="AC319" t="s">
        <v>148</v>
      </c>
      <c r="AE319" s="12" t="s">
        <v>144</v>
      </c>
      <c r="AF319" s="12" t="s">
        <v>171</v>
      </c>
      <c r="AI319" s="12" t="s">
        <v>206</v>
      </c>
      <c r="AJ319" s="12" t="s">
        <v>207</v>
      </c>
      <c r="AK319" s="12" t="s">
        <v>208</v>
      </c>
      <c r="AL319" s="12" t="s">
        <v>174</v>
      </c>
      <c r="AM319" s="12">
        <v>35</v>
      </c>
      <c r="AN319" t="s">
        <v>175</v>
      </c>
      <c r="AO319" s="12">
        <v>2</v>
      </c>
      <c r="AP319" t="s">
        <v>176</v>
      </c>
      <c r="AQ319" s="12" t="b">
        <v>1</v>
      </c>
      <c r="AR319" s="12" t="str">
        <f>HYPERLINK("https://www.google.com/search?q=Siemens","Siemens")</f>
        <v>Siemens</v>
      </c>
      <c r="BR319" s="12" t="s">
        <v>178</v>
      </c>
      <c r="BV319" s="12" t="s">
        <v>210</v>
      </c>
      <c r="CF319" s="12" t="s">
        <v>187</v>
      </c>
      <c r="CS319" s="12" t="s">
        <v>181</v>
      </c>
      <c r="DA319" s="12">
        <v>2</v>
      </c>
      <c r="DN319" s="12" t="b">
        <v>1</v>
      </c>
      <c r="DQ319">
        <f t="shared" si="234"/>
        <v>10</v>
      </c>
      <c r="DR319">
        <f t="shared" si="235"/>
        <v>1</v>
      </c>
      <c r="DS319" cm="1">
        <f t="array" ref="DS319">IF(AF319="&lt;0.2 ips",1,O.5)</f>
        <v>1</v>
      </c>
      <c r="DT319">
        <v>0.2</v>
      </c>
      <c r="DU319">
        <v>0.4</v>
      </c>
      <c r="DV319">
        <v>1</v>
      </c>
      <c r="DW319">
        <v>0.9</v>
      </c>
      <c r="DX319">
        <f t="shared" si="236"/>
        <v>0.8</v>
      </c>
      <c r="DY319">
        <f t="shared" si="237"/>
        <v>267.8389692799372</v>
      </c>
      <c r="DZ319">
        <f t="shared" si="238"/>
        <v>3.0575224803645801E-2</v>
      </c>
      <c r="EA319">
        <f t="shared" si="239"/>
        <v>0.4</v>
      </c>
    </row>
    <row r="320" spans="1:131" ht="90" hidden="1" x14ac:dyDescent="0.25">
      <c r="A320" t="s">
        <v>843</v>
      </c>
      <c r="B320" t="s">
        <v>732</v>
      </c>
      <c r="C320" t="s">
        <v>733</v>
      </c>
      <c r="D320" t="s">
        <v>835</v>
      </c>
      <c r="E320" t="s">
        <v>836</v>
      </c>
      <c r="F320" t="s">
        <v>134</v>
      </c>
      <c r="G320" t="s">
        <v>201</v>
      </c>
      <c r="H320" t="s">
        <v>212</v>
      </c>
      <c r="I320" t="s">
        <v>201</v>
      </c>
      <c r="L320" s="11" t="s">
        <v>773</v>
      </c>
      <c r="M320" t="s">
        <v>137</v>
      </c>
      <c r="N320" t="b">
        <v>0</v>
      </c>
      <c r="P320" s="12"/>
      <c r="Q320" s="12"/>
      <c r="T320" t="s">
        <v>203</v>
      </c>
      <c r="X320" s="12">
        <v>5800</v>
      </c>
      <c r="Y320" s="12">
        <v>660</v>
      </c>
      <c r="Z320" s="12">
        <v>1500</v>
      </c>
      <c r="AA320" s="12" t="s">
        <v>169</v>
      </c>
      <c r="AB320">
        <f t="shared" si="233"/>
        <v>125</v>
      </c>
      <c r="AC320" t="s">
        <v>148</v>
      </c>
      <c r="AE320" s="12" t="s">
        <v>144</v>
      </c>
      <c r="AF320" s="12" t="s">
        <v>171</v>
      </c>
      <c r="AI320" s="12" t="s">
        <v>206</v>
      </c>
      <c r="AJ320" s="12" t="s">
        <v>207</v>
      </c>
      <c r="AK320" s="12" t="s">
        <v>208</v>
      </c>
      <c r="AL320" s="12" t="s">
        <v>174</v>
      </c>
      <c r="AM320" s="12">
        <v>35</v>
      </c>
      <c r="AN320" t="s">
        <v>175</v>
      </c>
      <c r="AO320" s="12">
        <v>2</v>
      </c>
      <c r="AP320" t="s">
        <v>176</v>
      </c>
      <c r="AQ320" s="12" t="b">
        <v>1</v>
      </c>
      <c r="AR320" s="12" t="str">
        <f>HYPERLINK("https://www.google.com/search?q=Siemens","Siemens")</f>
        <v>Siemens</v>
      </c>
      <c r="BR320" s="12" t="s">
        <v>178</v>
      </c>
      <c r="BV320" s="12" t="s">
        <v>210</v>
      </c>
      <c r="CF320" s="12" t="s">
        <v>187</v>
      </c>
      <c r="CS320" s="12" t="s">
        <v>181</v>
      </c>
      <c r="DA320" s="12">
        <v>2</v>
      </c>
      <c r="DN320" s="12" t="b">
        <v>1</v>
      </c>
      <c r="DQ320">
        <f t="shared" si="234"/>
        <v>10</v>
      </c>
      <c r="DR320">
        <f t="shared" si="235"/>
        <v>1</v>
      </c>
      <c r="DS320" cm="1">
        <f t="array" ref="DS320">IF(AF320="&lt;0.2 ips",1,O.5)</f>
        <v>1</v>
      </c>
      <c r="DT320">
        <v>0.2</v>
      </c>
      <c r="DU320">
        <v>0.4</v>
      </c>
      <c r="DV320">
        <v>1</v>
      </c>
      <c r="DW320">
        <v>0.9</v>
      </c>
      <c r="DX320">
        <f t="shared" si="236"/>
        <v>0.8</v>
      </c>
      <c r="DY320">
        <f t="shared" si="237"/>
        <v>267.8389692799372</v>
      </c>
      <c r="DZ320">
        <f t="shared" si="238"/>
        <v>3.0575224803645801E-2</v>
      </c>
      <c r="EA320">
        <f t="shared" si="239"/>
        <v>0.4</v>
      </c>
    </row>
    <row r="321" spans="1:131" ht="120" hidden="1" x14ac:dyDescent="0.25">
      <c r="A321" t="s">
        <v>844</v>
      </c>
      <c r="B321" t="s">
        <v>732</v>
      </c>
      <c r="C321" t="s">
        <v>733</v>
      </c>
      <c r="D321" t="s">
        <v>835</v>
      </c>
      <c r="E321" t="s">
        <v>836</v>
      </c>
      <c r="F321" t="s">
        <v>778</v>
      </c>
      <c r="G321" t="s">
        <v>192</v>
      </c>
      <c r="H321" t="s">
        <v>141</v>
      </c>
      <c r="I321" t="s">
        <v>142</v>
      </c>
      <c r="L321" s="11" t="s">
        <v>779</v>
      </c>
      <c r="M321" t="s">
        <v>137</v>
      </c>
      <c r="N321" t="b">
        <v>0</v>
      </c>
      <c r="Y321" s="12"/>
      <c r="AE321" s="12" t="s">
        <v>205</v>
      </c>
      <c r="AI321" s="12" t="s">
        <v>206</v>
      </c>
      <c r="AJ321" s="12" t="s">
        <v>207</v>
      </c>
      <c r="AK321" s="12" t="s">
        <v>208</v>
      </c>
      <c r="AR321" s="12" t="str">
        <f>HYPERLINK("https://www.google.com/search?q=","")</f>
        <v/>
      </c>
      <c r="AS321">
        <v>300</v>
      </c>
      <c r="AT321" t="s">
        <v>148</v>
      </c>
      <c r="AU321">
        <v>1250</v>
      </c>
      <c r="AV321" t="s">
        <v>148</v>
      </c>
      <c r="AW321">
        <v>1300</v>
      </c>
      <c r="AX321" t="s">
        <v>148</v>
      </c>
      <c r="AY321" s="12">
        <v>280</v>
      </c>
      <c r="AZ321" t="s">
        <v>149</v>
      </c>
      <c r="BF321" s="12" t="s">
        <v>780</v>
      </c>
      <c r="BH321" s="12" t="s">
        <v>458</v>
      </c>
      <c r="BI321" s="12" t="s">
        <v>152</v>
      </c>
      <c r="BL321" s="12" t="s">
        <v>412</v>
      </c>
      <c r="BN321" s="12" t="s">
        <v>154</v>
      </c>
      <c r="BP321" s="12" t="s">
        <v>155</v>
      </c>
      <c r="BT321" s="12" t="s">
        <v>781</v>
      </c>
      <c r="BV321" s="12" t="s">
        <v>573</v>
      </c>
      <c r="BY321" s="12" t="s">
        <v>155</v>
      </c>
      <c r="CA321" s="12" t="s">
        <v>218</v>
      </c>
      <c r="CD321" s="12">
        <v>250</v>
      </c>
      <c r="CE321" t="s">
        <v>148</v>
      </c>
      <c r="CH321" s="12" t="s">
        <v>159</v>
      </c>
      <c r="CU321" s="12" t="s">
        <v>412</v>
      </c>
      <c r="DC321" s="12" t="b">
        <v>0</v>
      </c>
      <c r="DD321" s="12" t="s">
        <v>626</v>
      </c>
      <c r="DG321" s="12" t="s">
        <v>459</v>
      </c>
      <c r="DV321">
        <f t="shared" ref="DV321:DV325" si="240">IF(AA323="Horizontal",1,0.5)</f>
        <v>0.5</v>
      </c>
    </row>
    <row r="322" spans="1:131" hidden="1" x14ac:dyDescent="0.25">
      <c r="A322" t="s">
        <v>845</v>
      </c>
      <c r="B322" t="s">
        <v>732</v>
      </c>
      <c r="C322" t="s">
        <v>733</v>
      </c>
      <c r="D322" t="s">
        <v>846</v>
      </c>
      <c r="E322" t="s">
        <v>847</v>
      </c>
      <c r="F322" t="s">
        <v>736</v>
      </c>
      <c r="G322" t="s">
        <v>618</v>
      </c>
      <c r="H322" t="s">
        <v>354</v>
      </c>
      <c r="I322" t="s">
        <v>355</v>
      </c>
      <c r="M322" t="s">
        <v>137</v>
      </c>
      <c r="N322" t="b">
        <v>0</v>
      </c>
      <c r="AR322" s="12" t="str">
        <f>HYPERLINK("https://www.google.com/search?q=","")</f>
        <v/>
      </c>
      <c r="CC322" s="12" t="b">
        <v>1</v>
      </c>
      <c r="CI322" s="12"/>
      <c r="CJ322" s="12" t="s">
        <v>609</v>
      </c>
      <c r="CK322" s="12" t="s">
        <v>610</v>
      </c>
      <c r="CL322" s="12"/>
      <c r="CM322" s="12"/>
      <c r="CN322" t="s">
        <v>356</v>
      </c>
      <c r="CO322" s="12" t="s">
        <v>620</v>
      </c>
      <c r="DD322" s="12" t="s">
        <v>155</v>
      </c>
      <c r="DG322" s="12" t="s">
        <v>737</v>
      </c>
      <c r="DV322">
        <f t="shared" si="240"/>
        <v>0.5</v>
      </c>
    </row>
    <row r="323" spans="1:131" ht="180" hidden="1" x14ac:dyDescent="0.25">
      <c r="A323" t="s">
        <v>848</v>
      </c>
      <c r="B323" t="s">
        <v>732</v>
      </c>
      <c r="C323" t="s">
        <v>733</v>
      </c>
      <c r="D323" t="s">
        <v>846</v>
      </c>
      <c r="E323" t="s">
        <v>847</v>
      </c>
      <c r="F323" t="s">
        <v>736</v>
      </c>
      <c r="G323" t="s">
        <v>618</v>
      </c>
      <c r="H323" t="s">
        <v>166</v>
      </c>
      <c r="I323" t="s">
        <v>739</v>
      </c>
      <c r="L323" s="11" t="s">
        <v>740</v>
      </c>
      <c r="M323" t="s">
        <v>137</v>
      </c>
      <c r="N323" t="b">
        <v>0</v>
      </c>
      <c r="P323" s="12"/>
      <c r="Q323" s="12"/>
      <c r="Z323" s="12"/>
      <c r="AE323" s="12" t="s">
        <v>144</v>
      </c>
      <c r="AI323" s="12" t="s">
        <v>206</v>
      </c>
      <c r="AJ323" s="12" t="s">
        <v>207</v>
      </c>
      <c r="AK323" s="12" t="s">
        <v>208</v>
      </c>
      <c r="AR323" s="12" t="str">
        <f>HYPERLINK("https://www.google.com/search?q=HAZLETON","HAZLETON")</f>
        <v>HAZLETON</v>
      </c>
      <c r="BL323" s="16" t="s">
        <v>339</v>
      </c>
      <c r="BN323" s="12" t="s">
        <v>154</v>
      </c>
      <c r="CA323" s="12" t="s">
        <v>218</v>
      </c>
      <c r="DD323" t="s">
        <v>626</v>
      </c>
      <c r="DV323">
        <f t="shared" si="240"/>
        <v>0.5</v>
      </c>
    </row>
    <row r="324" spans="1:131" ht="240" hidden="1" x14ac:dyDescent="0.25">
      <c r="A324" t="s">
        <v>849</v>
      </c>
      <c r="B324" t="s">
        <v>732</v>
      </c>
      <c r="C324" t="s">
        <v>733</v>
      </c>
      <c r="D324" t="s">
        <v>846</v>
      </c>
      <c r="E324" t="s">
        <v>847</v>
      </c>
      <c r="F324" t="s">
        <v>736</v>
      </c>
      <c r="G324" t="s">
        <v>618</v>
      </c>
      <c r="H324" t="s">
        <v>359</v>
      </c>
      <c r="I324" t="s">
        <v>663</v>
      </c>
      <c r="L324" s="11" t="s">
        <v>769</v>
      </c>
      <c r="M324" t="s">
        <v>137</v>
      </c>
      <c r="N324" t="b">
        <v>0</v>
      </c>
      <c r="AI324" s="12" t="s">
        <v>206</v>
      </c>
      <c r="AJ324" s="12" t="s">
        <v>207</v>
      </c>
      <c r="AK324" s="12" t="s">
        <v>208</v>
      </c>
      <c r="AS324">
        <v>300</v>
      </c>
      <c r="AT324" t="s">
        <v>148</v>
      </c>
      <c r="AU324">
        <v>450</v>
      </c>
      <c r="AV324" t="s">
        <v>148</v>
      </c>
      <c r="AW324">
        <v>700</v>
      </c>
      <c r="AX324" t="s">
        <v>148</v>
      </c>
      <c r="AY324" s="12">
        <v>130</v>
      </c>
      <c r="AZ324" t="s">
        <v>149</v>
      </c>
      <c r="BL324" s="12" t="s">
        <v>153</v>
      </c>
      <c r="BN324" s="12" t="s">
        <v>154</v>
      </c>
      <c r="BP324" s="12" t="s">
        <v>155</v>
      </c>
      <c r="BT324" s="12" t="s">
        <v>604</v>
      </c>
      <c r="BV324" s="12" t="s">
        <v>743</v>
      </c>
      <c r="BY324" s="12" t="s">
        <v>155</v>
      </c>
      <c r="CA324" s="12" t="s">
        <v>218</v>
      </c>
      <c r="CD324" s="12">
        <v>200</v>
      </c>
      <c r="CE324" t="s">
        <v>148</v>
      </c>
      <c r="CH324" s="15" t="s">
        <v>577</v>
      </c>
      <c r="CU324" s="12" t="s">
        <v>578</v>
      </c>
      <c r="DC324" s="12" t="b">
        <v>0</v>
      </c>
      <c r="DD324" s="12" t="s">
        <v>626</v>
      </c>
      <c r="DG324" s="12"/>
      <c r="DL324" t="s">
        <v>629</v>
      </c>
      <c r="DP324" s="12">
        <v>3</v>
      </c>
      <c r="DV324">
        <f t="shared" si="240"/>
        <v>1</v>
      </c>
    </row>
    <row r="325" spans="1:131" ht="330" hidden="1" x14ac:dyDescent="0.25">
      <c r="A325" t="s">
        <v>850</v>
      </c>
      <c r="B325" t="s">
        <v>732</v>
      </c>
      <c r="C325" t="s">
        <v>733</v>
      </c>
      <c r="D325" t="s">
        <v>846</v>
      </c>
      <c r="E325" t="s">
        <v>847</v>
      </c>
      <c r="F325" t="s">
        <v>736</v>
      </c>
      <c r="G325" t="s">
        <v>618</v>
      </c>
      <c r="H325" t="s">
        <v>612</v>
      </c>
      <c r="I325" t="s">
        <v>613</v>
      </c>
      <c r="L325" s="11" t="s">
        <v>745</v>
      </c>
      <c r="M325" t="s">
        <v>137</v>
      </c>
      <c r="N325" t="b">
        <v>0</v>
      </c>
      <c r="CA325" s="12" t="s">
        <v>218</v>
      </c>
      <c r="DV325">
        <f t="shared" si="240"/>
        <v>1</v>
      </c>
    </row>
    <row r="326" spans="1:131" ht="90" hidden="1" x14ac:dyDescent="0.25">
      <c r="A326" t="s">
        <v>851</v>
      </c>
      <c r="B326" t="s">
        <v>732</v>
      </c>
      <c r="C326" t="s">
        <v>733</v>
      </c>
      <c r="D326" t="s">
        <v>846</v>
      </c>
      <c r="E326" t="s">
        <v>847</v>
      </c>
      <c r="F326" t="s">
        <v>134</v>
      </c>
      <c r="G326" t="s">
        <v>201</v>
      </c>
      <c r="H326" t="s">
        <v>772</v>
      </c>
      <c r="I326" t="s">
        <v>201</v>
      </c>
      <c r="L326" s="11" t="s">
        <v>773</v>
      </c>
      <c r="M326" t="s">
        <v>137</v>
      </c>
      <c r="N326" t="b">
        <v>0</v>
      </c>
      <c r="P326" s="12"/>
      <c r="Q326" s="12"/>
      <c r="T326" t="s">
        <v>203</v>
      </c>
      <c r="X326" s="12">
        <v>5800</v>
      </c>
      <c r="Y326" s="12">
        <v>660</v>
      </c>
      <c r="Z326" s="12">
        <v>1500</v>
      </c>
      <c r="AA326" s="12" t="s">
        <v>169</v>
      </c>
      <c r="AB326">
        <f t="shared" ref="AB326:AB328" si="241">25*5</f>
        <v>125</v>
      </c>
      <c r="AC326" t="s">
        <v>148</v>
      </c>
      <c r="AE326" s="12" t="s">
        <v>144</v>
      </c>
      <c r="AF326" s="12" t="s">
        <v>171</v>
      </c>
      <c r="AI326" s="12" t="s">
        <v>206</v>
      </c>
      <c r="AJ326" s="12" t="s">
        <v>207</v>
      </c>
      <c r="AK326" s="12" t="s">
        <v>208</v>
      </c>
      <c r="AL326" s="12" t="s">
        <v>174</v>
      </c>
      <c r="AM326" s="12">
        <v>35</v>
      </c>
      <c r="AN326" t="s">
        <v>175</v>
      </c>
      <c r="AO326" s="12">
        <v>2</v>
      </c>
      <c r="AP326" t="s">
        <v>176</v>
      </c>
      <c r="AQ326" s="12" t="b">
        <v>1</v>
      </c>
      <c r="AR326" s="12" t="str">
        <f>HYPERLINK("https://www.google.com/search?q=Siemens","Siemens")</f>
        <v>Siemens</v>
      </c>
      <c r="BR326" s="12" t="s">
        <v>178</v>
      </c>
      <c r="BV326" s="12" t="s">
        <v>210</v>
      </c>
      <c r="CF326" s="12" t="s">
        <v>187</v>
      </c>
      <c r="CS326" s="12" t="s">
        <v>181</v>
      </c>
      <c r="DA326" s="12">
        <v>2</v>
      </c>
      <c r="DN326" s="12" t="b">
        <v>1</v>
      </c>
      <c r="DQ326">
        <f t="shared" ref="DQ326:DQ328" si="242">IF(T326="Ball",10,0)</f>
        <v>10</v>
      </c>
      <c r="DR326">
        <f t="shared" ref="DR326:DR328" si="243">IF(AE326="125°F (51.7°C) - 150°F (65.6°C)",1,0.5)</f>
        <v>1</v>
      </c>
      <c r="DS326" cm="1">
        <f t="array" ref="DS326">IF(AF326="&lt;0.2 ips",1,O.5)</f>
        <v>1</v>
      </c>
      <c r="DT326">
        <v>0.2</v>
      </c>
      <c r="DU326">
        <v>0.4</v>
      </c>
      <c r="DV326">
        <v>1</v>
      </c>
      <c r="DW326">
        <v>0.9</v>
      </c>
      <c r="DX326">
        <f t="shared" ref="DX326:DX328" si="244">PRODUCT(DQ326:DV326)</f>
        <v>0.8</v>
      </c>
      <c r="DY326">
        <f t="shared" ref="DY326:DY328" si="245">+DX326*((14000000/(Z326*AB326^0.5))-4*AB326)</f>
        <v>267.8389692799372</v>
      </c>
      <c r="DZ326">
        <f t="shared" ref="DZ326:DZ328" si="246">+DY326/8760</f>
        <v>3.0575224803645801E-2</v>
      </c>
      <c r="EA326">
        <f t="shared" ref="EA326:EA328" si="247">ROUND(+DZ326*12,1)</f>
        <v>0.4</v>
      </c>
    </row>
    <row r="327" spans="1:131" ht="90" hidden="1" x14ac:dyDescent="0.25">
      <c r="A327" t="s">
        <v>852</v>
      </c>
      <c r="B327" t="s">
        <v>732</v>
      </c>
      <c r="C327" t="s">
        <v>733</v>
      </c>
      <c r="D327" t="s">
        <v>846</v>
      </c>
      <c r="E327" t="s">
        <v>847</v>
      </c>
      <c r="F327" t="s">
        <v>134</v>
      </c>
      <c r="G327" t="s">
        <v>201</v>
      </c>
      <c r="H327" t="s">
        <v>775</v>
      </c>
      <c r="I327" t="s">
        <v>201</v>
      </c>
      <c r="L327" s="11" t="s">
        <v>773</v>
      </c>
      <c r="M327" t="s">
        <v>137</v>
      </c>
      <c r="N327" t="b">
        <v>0</v>
      </c>
      <c r="P327" s="12"/>
      <c r="Q327" s="12"/>
      <c r="T327" t="s">
        <v>203</v>
      </c>
      <c r="X327" s="12">
        <v>5800</v>
      </c>
      <c r="Y327" s="12">
        <v>660</v>
      </c>
      <c r="Z327" s="12">
        <v>1500</v>
      </c>
      <c r="AA327" s="12" t="s">
        <v>169</v>
      </c>
      <c r="AB327">
        <f t="shared" si="241"/>
        <v>125</v>
      </c>
      <c r="AC327" t="s">
        <v>148</v>
      </c>
      <c r="AE327" s="12" t="s">
        <v>144</v>
      </c>
      <c r="AF327" s="12" t="s">
        <v>171</v>
      </c>
      <c r="AI327" s="12" t="s">
        <v>206</v>
      </c>
      <c r="AJ327" s="12" t="s">
        <v>207</v>
      </c>
      <c r="AK327" s="12" t="s">
        <v>208</v>
      </c>
      <c r="AL327" s="12" t="s">
        <v>174</v>
      </c>
      <c r="AM327" s="12">
        <v>35</v>
      </c>
      <c r="AN327" t="s">
        <v>175</v>
      </c>
      <c r="AO327" s="12">
        <v>2</v>
      </c>
      <c r="AP327" t="s">
        <v>176</v>
      </c>
      <c r="AQ327" s="12" t="b">
        <v>1</v>
      </c>
      <c r="AR327" s="12" t="str">
        <f>HYPERLINK("https://www.google.com/search?q=Siemens","Siemens")</f>
        <v>Siemens</v>
      </c>
      <c r="BR327" s="12" t="s">
        <v>178</v>
      </c>
      <c r="BV327" s="12" t="s">
        <v>210</v>
      </c>
      <c r="CF327" s="12" t="s">
        <v>187</v>
      </c>
      <c r="CS327" s="12" t="s">
        <v>181</v>
      </c>
      <c r="DA327" s="12">
        <v>2</v>
      </c>
      <c r="DN327" s="12" t="b">
        <v>1</v>
      </c>
      <c r="DQ327">
        <f t="shared" si="242"/>
        <v>10</v>
      </c>
      <c r="DR327">
        <f t="shared" si="243"/>
        <v>1</v>
      </c>
      <c r="DS327" cm="1">
        <f t="array" ref="DS327">IF(AF327="&lt;0.2 ips",1,O.5)</f>
        <v>1</v>
      </c>
      <c r="DT327">
        <v>0.2</v>
      </c>
      <c r="DU327">
        <v>0.4</v>
      </c>
      <c r="DV327">
        <v>1</v>
      </c>
      <c r="DW327">
        <v>0.9</v>
      </c>
      <c r="DX327">
        <f t="shared" si="244"/>
        <v>0.8</v>
      </c>
      <c r="DY327">
        <f t="shared" si="245"/>
        <v>267.8389692799372</v>
      </c>
      <c r="DZ327">
        <f t="shared" si="246"/>
        <v>3.0575224803645801E-2</v>
      </c>
      <c r="EA327">
        <f t="shared" si="247"/>
        <v>0.4</v>
      </c>
    </row>
    <row r="328" spans="1:131" ht="90" hidden="1" x14ac:dyDescent="0.25">
      <c r="A328" t="s">
        <v>853</v>
      </c>
      <c r="B328" t="s">
        <v>732</v>
      </c>
      <c r="C328" t="s">
        <v>733</v>
      </c>
      <c r="D328" t="s">
        <v>846</v>
      </c>
      <c r="E328" t="s">
        <v>847</v>
      </c>
      <c r="F328" t="s">
        <v>134</v>
      </c>
      <c r="G328" t="s">
        <v>201</v>
      </c>
      <c r="H328" t="s">
        <v>212</v>
      </c>
      <c r="I328" t="s">
        <v>201</v>
      </c>
      <c r="L328" s="11" t="s">
        <v>773</v>
      </c>
      <c r="M328" t="s">
        <v>137</v>
      </c>
      <c r="N328" t="b">
        <v>0</v>
      </c>
      <c r="P328" s="12"/>
      <c r="Q328" s="12"/>
      <c r="T328" t="s">
        <v>203</v>
      </c>
      <c r="X328" s="12">
        <v>5800</v>
      </c>
      <c r="Y328" s="12">
        <v>660</v>
      </c>
      <c r="Z328" s="12">
        <v>1500</v>
      </c>
      <c r="AA328" s="12" t="s">
        <v>169</v>
      </c>
      <c r="AB328">
        <f t="shared" si="241"/>
        <v>125</v>
      </c>
      <c r="AC328" t="s">
        <v>148</v>
      </c>
      <c r="AE328" s="12" t="s">
        <v>144</v>
      </c>
      <c r="AF328" s="12" t="s">
        <v>171</v>
      </c>
      <c r="AI328" s="12" t="s">
        <v>206</v>
      </c>
      <c r="AJ328" s="12" t="s">
        <v>207</v>
      </c>
      <c r="AK328" s="12" t="s">
        <v>208</v>
      </c>
      <c r="AL328" s="12" t="s">
        <v>174</v>
      </c>
      <c r="AM328" s="12">
        <v>35</v>
      </c>
      <c r="AN328" t="s">
        <v>175</v>
      </c>
      <c r="AO328" s="12">
        <v>2</v>
      </c>
      <c r="AP328" t="s">
        <v>176</v>
      </c>
      <c r="AQ328" s="12" t="b">
        <v>1</v>
      </c>
      <c r="AR328" s="12" t="str">
        <f>HYPERLINK("https://www.google.com/search?q=Siemens","Siemens")</f>
        <v>Siemens</v>
      </c>
      <c r="BR328" s="12" t="s">
        <v>178</v>
      </c>
      <c r="BV328" s="12" t="s">
        <v>210</v>
      </c>
      <c r="CF328" s="12" t="s">
        <v>187</v>
      </c>
      <c r="CS328" s="12" t="s">
        <v>181</v>
      </c>
      <c r="DA328" s="12">
        <v>2</v>
      </c>
      <c r="DN328" s="12" t="b">
        <v>1</v>
      </c>
      <c r="DQ328">
        <f t="shared" si="242"/>
        <v>10</v>
      </c>
      <c r="DR328">
        <f t="shared" si="243"/>
        <v>1</v>
      </c>
      <c r="DS328" cm="1">
        <f t="array" ref="DS328">IF(AF328="&lt;0.2 ips",1,O.5)</f>
        <v>1</v>
      </c>
      <c r="DT328">
        <v>0.2</v>
      </c>
      <c r="DU328">
        <v>0.4</v>
      </c>
      <c r="DV328">
        <v>1</v>
      </c>
      <c r="DW328">
        <v>0.9</v>
      </c>
      <c r="DX328">
        <f t="shared" si="244"/>
        <v>0.8</v>
      </c>
      <c r="DY328">
        <f t="shared" si="245"/>
        <v>267.8389692799372</v>
      </c>
      <c r="DZ328">
        <f t="shared" si="246"/>
        <v>3.0575224803645801E-2</v>
      </c>
      <c r="EA328">
        <f t="shared" si="247"/>
        <v>0.4</v>
      </c>
    </row>
    <row r="329" spans="1:131" ht="120" hidden="1" x14ac:dyDescent="0.25">
      <c r="A329" t="s">
        <v>854</v>
      </c>
      <c r="B329" t="s">
        <v>732</v>
      </c>
      <c r="C329" t="s">
        <v>733</v>
      </c>
      <c r="D329" t="s">
        <v>846</v>
      </c>
      <c r="E329" t="s">
        <v>847</v>
      </c>
      <c r="F329" t="s">
        <v>778</v>
      </c>
      <c r="G329" t="s">
        <v>192</v>
      </c>
      <c r="H329" t="s">
        <v>141</v>
      </c>
      <c r="I329" t="s">
        <v>142</v>
      </c>
      <c r="L329" s="11" t="s">
        <v>779</v>
      </c>
      <c r="M329" t="s">
        <v>137</v>
      </c>
      <c r="N329" t="b">
        <v>0</v>
      </c>
      <c r="Y329" s="12"/>
      <c r="AE329" s="12" t="s">
        <v>205</v>
      </c>
      <c r="AI329" s="12" t="s">
        <v>206</v>
      </c>
      <c r="AJ329" s="12" t="s">
        <v>207</v>
      </c>
      <c r="AK329" s="12" t="s">
        <v>208</v>
      </c>
      <c r="AR329" s="12" t="str">
        <f>HYPERLINK("https://www.google.com/search?q=","")</f>
        <v/>
      </c>
      <c r="AS329">
        <v>300</v>
      </c>
      <c r="AT329" t="s">
        <v>148</v>
      </c>
      <c r="AU329">
        <v>1250</v>
      </c>
      <c r="AV329" t="s">
        <v>148</v>
      </c>
      <c r="AW329">
        <v>1300</v>
      </c>
      <c r="AX329" t="s">
        <v>148</v>
      </c>
      <c r="AY329" s="12">
        <v>280</v>
      </c>
      <c r="AZ329" t="s">
        <v>149</v>
      </c>
      <c r="BF329" s="12" t="s">
        <v>780</v>
      </c>
      <c r="BH329" s="12" t="s">
        <v>458</v>
      </c>
      <c r="BI329" s="12" t="s">
        <v>152</v>
      </c>
      <c r="BL329" s="12" t="s">
        <v>412</v>
      </c>
      <c r="BN329" s="12" t="s">
        <v>154</v>
      </c>
      <c r="BP329" s="12" t="s">
        <v>155</v>
      </c>
      <c r="BT329" s="12" t="s">
        <v>781</v>
      </c>
      <c r="BV329" s="12" t="s">
        <v>573</v>
      </c>
      <c r="BY329" s="12" t="s">
        <v>155</v>
      </c>
      <c r="CA329" s="12" t="s">
        <v>218</v>
      </c>
      <c r="CD329" s="12">
        <v>250</v>
      </c>
      <c r="CE329" t="s">
        <v>148</v>
      </c>
      <c r="CH329" s="12" t="s">
        <v>159</v>
      </c>
      <c r="CU329" s="12" t="s">
        <v>412</v>
      </c>
      <c r="DC329" s="12" t="b">
        <v>0</v>
      </c>
      <c r="DD329" s="12" t="s">
        <v>626</v>
      </c>
      <c r="DG329" s="12" t="s">
        <v>459</v>
      </c>
      <c r="DV329">
        <f t="shared" ref="DV329:DV333" si="248">IF(AA331="Horizontal",1,0.5)</f>
        <v>0.5</v>
      </c>
    </row>
    <row r="330" spans="1:131" hidden="1" x14ac:dyDescent="0.25">
      <c r="A330" t="s">
        <v>855</v>
      </c>
      <c r="B330" t="s">
        <v>732</v>
      </c>
      <c r="C330" t="s">
        <v>733</v>
      </c>
      <c r="D330" t="s">
        <v>856</v>
      </c>
      <c r="E330" t="s">
        <v>857</v>
      </c>
      <c r="F330" t="s">
        <v>736</v>
      </c>
      <c r="G330" t="s">
        <v>618</v>
      </c>
      <c r="H330" t="s">
        <v>354</v>
      </c>
      <c r="I330" t="s">
        <v>355</v>
      </c>
      <c r="M330" t="s">
        <v>137</v>
      </c>
      <c r="N330" t="b">
        <v>0</v>
      </c>
      <c r="AR330" s="12" t="str">
        <f>HYPERLINK("https://www.google.com/search?q=","")</f>
        <v/>
      </c>
      <c r="CC330" s="12" t="b">
        <v>1</v>
      </c>
      <c r="CI330" s="12"/>
      <c r="CJ330" s="12" t="s">
        <v>609</v>
      </c>
      <c r="CK330" s="12" t="s">
        <v>610</v>
      </c>
      <c r="CL330" s="12"/>
      <c r="CM330" s="12"/>
      <c r="CN330" t="s">
        <v>356</v>
      </c>
      <c r="CO330" s="12" t="s">
        <v>620</v>
      </c>
      <c r="DD330" s="12" t="s">
        <v>155</v>
      </c>
      <c r="DG330" s="12" t="s">
        <v>737</v>
      </c>
      <c r="DV330">
        <f t="shared" si="248"/>
        <v>0.5</v>
      </c>
    </row>
    <row r="331" spans="1:131" ht="180" hidden="1" x14ac:dyDescent="0.25">
      <c r="A331" t="s">
        <v>858</v>
      </c>
      <c r="B331" t="s">
        <v>732</v>
      </c>
      <c r="C331" t="s">
        <v>733</v>
      </c>
      <c r="D331" t="s">
        <v>856</v>
      </c>
      <c r="E331" t="s">
        <v>857</v>
      </c>
      <c r="F331" t="s">
        <v>736</v>
      </c>
      <c r="G331" t="s">
        <v>618</v>
      </c>
      <c r="H331" t="s">
        <v>166</v>
      </c>
      <c r="I331" t="s">
        <v>739</v>
      </c>
      <c r="L331" s="11" t="s">
        <v>740</v>
      </c>
      <c r="M331" t="s">
        <v>137</v>
      </c>
      <c r="N331" t="b">
        <v>0</v>
      </c>
      <c r="P331" s="12"/>
      <c r="Q331" s="12"/>
      <c r="Z331" s="12"/>
      <c r="AE331" s="12" t="s">
        <v>144</v>
      </c>
      <c r="AI331" s="12" t="s">
        <v>206</v>
      </c>
      <c r="AJ331" s="12" t="s">
        <v>207</v>
      </c>
      <c r="AK331" s="12" t="s">
        <v>208</v>
      </c>
      <c r="AR331" s="12" t="str">
        <f>HYPERLINK("https://www.google.com/search?q=HAZLETON","HAZLETON")</f>
        <v>HAZLETON</v>
      </c>
      <c r="BL331" s="16" t="s">
        <v>339</v>
      </c>
      <c r="BN331" s="12" t="s">
        <v>154</v>
      </c>
      <c r="CA331" s="12" t="s">
        <v>218</v>
      </c>
      <c r="DD331" t="s">
        <v>626</v>
      </c>
      <c r="DV331">
        <f t="shared" si="248"/>
        <v>0.5</v>
      </c>
    </row>
    <row r="332" spans="1:131" ht="240" hidden="1" x14ac:dyDescent="0.25">
      <c r="A332" t="s">
        <v>859</v>
      </c>
      <c r="B332" t="s">
        <v>732</v>
      </c>
      <c r="C332" t="s">
        <v>733</v>
      </c>
      <c r="D332" t="s">
        <v>856</v>
      </c>
      <c r="E332" t="s">
        <v>857</v>
      </c>
      <c r="F332" t="s">
        <v>736</v>
      </c>
      <c r="G332" t="s">
        <v>618</v>
      </c>
      <c r="H332" t="s">
        <v>359</v>
      </c>
      <c r="I332" t="s">
        <v>663</v>
      </c>
      <c r="L332" s="11" t="s">
        <v>769</v>
      </c>
      <c r="M332" t="s">
        <v>137</v>
      </c>
      <c r="N332" t="b">
        <v>0</v>
      </c>
      <c r="AI332" s="12" t="s">
        <v>206</v>
      </c>
      <c r="AJ332" s="12" t="s">
        <v>207</v>
      </c>
      <c r="AK332" s="12" t="s">
        <v>208</v>
      </c>
      <c r="AS332">
        <v>300</v>
      </c>
      <c r="AT332" t="s">
        <v>148</v>
      </c>
      <c r="AU332">
        <v>450</v>
      </c>
      <c r="AV332" t="s">
        <v>148</v>
      </c>
      <c r="AW332">
        <v>700</v>
      </c>
      <c r="AX332" t="s">
        <v>148</v>
      </c>
      <c r="AY332" s="12">
        <v>130</v>
      </c>
      <c r="AZ332" t="s">
        <v>149</v>
      </c>
      <c r="BL332" s="12" t="s">
        <v>153</v>
      </c>
      <c r="BN332" s="12" t="s">
        <v>154</v>
      </c>
      <c r="BP332" s="12" t="s">
        <v>155</v>
      </c>
      <c r="BT332" s="12" t="s">
        <v>604</v>
      </c>
      <c r="BV332" s="12" t="s">
        <v>743</v>
      </c>
      <c r="BY332" s="12" t="s">
        <v>155</v>
      </c>
      <c r="CA332" s="12" t="s">
        <v>218</v>
      </c>
      <c r="CD332" s="12">
        <v>200</v>
      </c>
      <c r="CE332" t="s">
        <v>148</v>
      </c>
      <c r="CH332" s="15" t="s">
        <v>577</v>
      </c>
      <c r="CU332" s="12" t="s">
        <v>578</v>
      </c>
      <c r="DC332" s="12" t="b">
        <v>0</v>
      </c>
      <c r="DD332" s="12" t="s">
        <v>626</v>
      </c>
      <c r="DG332" s="12"/>
      <c r="DL332" t="s">
        <v>629</v>
      </c>
      <c r="DP332" s="12">
        <v>3</v>
      </c>
      <c r="DV332">
        <f t="shared" si="248"/>
        <v>1</v>
      </c>
    </row>
    <row r="333" spans="1:131" ht="330" hidden="1" x14ac:dyDescent="0.25">
      <c r="A333" t="s">
        <v>860</v>
      </c>
      <c r="B333" t="s">
        <v>732</v>
      </c>
      <c r="C333" t="s">
        <v>733</v>
      </c>
      <c r="D333" t="s">
        <v>856</v>
      </c>
      <c r="E333" t="s">
        <v>857</v>
      </c>
      <c r="F333" t="s">
        <v>736</v>
      </c>
      <c r="G333" t="s">
        <v>618</v>
      </c>
      <c r="H333" t="s">
        <v>612</v>
      </c>
      <c r="I333" t="s">
        <v>613</v>
      </c>
      <c r="L333" s="11" t="s">
        <v>745</v>
      </c>
      <c r="M333" t="s">
        <v>137</v>
      </c>
      <c r="N333" t="b">
        <v>0</v>
      </c>
      <c r="CA333" s="12" t="s">
        <v>218</v>
      </c>
      <c r="DV333">
        <f t="shared" si="248"/>
        <v>1</v>
      </c>
    </row>
    <row r="334" spans="1:131" ht="90" hidden="1" x14ac:dyDescent="0.25">
      <c r="A334" t="s">
        <v>861</v>
      </c>
      <c r="B334" t="s">
        <v>732</v>
      </c>
      <c r="C334" t="s">
        <v>733</v>
      </c>
      <c r="D334" t="s">
        <v>856</v>
      </c>
      <c r="E334" t="s">
        <v>857</v>
      </c>
      <c r="F334" t="s">
        <v>134</v>
      </c>
      <c r="G334" t="s">
        <v>201</v>
      </c>
      <c r="H334" t="s">
        <v>772</v>
      </c>
      <c r="I334" t="s">
        <v>201</v>
      </c>
      <c r="L334" s="11" t="s">
        <v>773</v>
      </c>
      <c r="M334" t="s">
        <v>137</v>
      </c>
      <c r="N334" t="b">
        <v>0</v>
      </c>
      <c r="P334" s="12"/>
      <c r="Q334" s="12"/>
      <c r="T334" t="s">
        <v>203</v>
      </c>
      <c r="X334" s="12">
        <v>5800</v>
      </c>
      <c r="Y334" s="12">
        <v>660</v>
      </c>
      <c r="Z334" s="12">
        <v>1500</v>
      </c>
      <c r="AA334" s="12" t="s">
        <v>169</v>
      </c>
      <c r="AB334">
        <f t="shared" ref="AB334:AB336" si="249">25*5</f>
        <v>125</v>
      </c>
      <c r="AC334" t="s">
        <v>148</v>
      </c>
      <c r="AE334" s="12" t="s">
        <v>144</v>
      </c>
      <c r="AF334" s="12" t="s">
        <v>171</v>
      </c>
      <c r="AI334" s="12" t="s">
        <v>206</v>
      </c>
      <c r="AJ334" s="12" t="s">
        <v>207</v>
      </c>
      <c r="AK334" s="12" t="s">
        <v>208</v>
      </c>
      <c r="AL334" s="12" t="s">
        <v>174</v>
      </c>
      <c r="AM334" s="12">
        <v>35</v>
      </c>
      <c r="AN334" t="s">
        <v>175</v>
      </c>
      <c r="AO334" s="12">
        <v>2</v>
      </c>
      <c r="AP334" t="s">
        <v>176</v>
      </c>
      <c r="AQ334" s="12" t="b">
        <v>1</v>
      </c>
      <c r="AR334" s="12" t="str">
        <f>HYPERLINK("https://www.google.com/search?q=Siemens","Siemens")</f>
        <v>Siemens</v>
      </c>
      <c r="BR334" s="12" t="s">
        <v>178</v>
      </c>
      <c r="BV334" s="12" t="s">
        <v>210</v>
      </c>
      <c r="CF334" s="12" t="s">
        <v>187</v>
      </c>
      <c r="CS334" s="12" t="s">
        <v>181</v>
      </c>
      <c r="DA334" s="12">
        <v>2</v>
      </c>
      <c r="DN334" s="12" t="b">
        <v>1</v>
      </c>
      <c r="DQ334">
        <f t="shared" ref="DQ334:DQ336" si="250">IF(T334="Ball",10,0)</f>
        <v>10</v>
      </c>
      <c r="DR334">
        <f t="shared" ref="DR334:DR336" si="251">IF(AE334="125°F (51.7°C) - 150°F (65.6°C)",1,0.5)</f>
        <v>1</v>
      </c>
      <c r="DS334" cm="1">
        <f t="array" ref="DS334">IF(AF334="&lt;0.2 ips",1,O.5)</f>
        <v>1</v>
      </c>
      <c r="DT334">
        <v>0.2</v>
      </c>
      <c r="DU334">
        <v>0.4</v>
      </c>
      <c r="DV334">
        <v>1</v>
      </c>
      <c r="DW334">
        <v>0.9</v>
      </c>
      <c r="DX334">
        <f t="shared" ref="DX334:DX336" si="252">PRODUCT(DQ334:DV334)</f>
        <v>0.8</v>
      </c>
      <c r="DY334">
        <f t="shared" ref="DY334:DY336" si="253">+DX334*((14000000/(Z334*AB334^0.5))-4*AB334)</f>
        <v>267.8389692799372</v>
      </c>
      <c r="DZ334">
        <f t="shared" ref="DZ334:DZ336" si="254">+DY334/8760</f>
        <v>3.0575224803645801E-2</v>
      </c>
      <c r="EA334">
        <f t="shared" ref="EA334:EA336" si="255">ROUND(+DZ334*12,1)</f>
        <v>0.4</v>
      </c>
    </row>
    <row r="335" spans="1:131" ht="90" hidden="1" x14ac:dyDescent="0.25">
      <c r="A335" t="s">
        <v>862</v>
      </c>
      <c r="B335" t="s">
        <v>732</v>
      </c>
      <c r="C335" t="s">
        <v>733</v>
      </c>
      <c r="D335" t="s">
        <v>856</v>
      </c>
      <c r="E335" t="s">
        <v>857</v>
      </c>
      <c r="F335" t="s">
        <v>134</v>
      </c>
      <c r="G335" t="s">
        <v>201</v>
      </c>
      <c r="H335" t="s">
        <v>775</v>
      </c>
      <c r="I335" t="s">
        <v>201</v>
      </c>
      <c r="L335" s="11" t="s">
        <v>773</v>
      </c>
      <c r="M335" t="s">
        <v>137</v>
      </c>
      <c r="N335" t="b">
        <v>0</v>
      </c>
      <c r="P335" s="12"/>
      <c r="Q335" s="12"/>
      <c r="T335" t="s">
        <v>203</v>
      </c>
      <c r="X335" s="12">
        <v>5800</v>
      </c>
      <c r="Y335" s="12">
        <v>660</v>
      </c>
      <c r="Z335" s="12">
        <v>1500</v>
      </c>
      <c r="AA335" s="12" t="s">
        <v>169</v>
      </c>
      <c r="AB335">
        <f t="shared" si="249"/>
        <v>125</v>
      </c>
      <c r="AC335" t="s">
        <v>148</v>
      </c>
      <c r="AE335" s="12" t="s">
        <v>144</v>
      </c>
      <c r="AF335" s="12" t="s">
        <v>171</v>
      </c>
      <c r="AI335" s="12" t="s">
        <v>206</v>
      </c>
      <c r="AJ335" s="12" t="s">
        <v>207</v>
      </c>
      <c r="AK335" s="12" t="s">
        <v>208</v>
      </c>
      <c r="AL335" s="12" t="s">
        <v>174</v>
      </c>
      <c r="AM335" s="12">
        <v>35</v>
      </c>
      <c r="AN335" t="s">
        <v>175</v>
      </c>
      <c r="AO335" s="12">
        <v>2</v>
      </c>
      <c r="AP335" t="s">
        <v>176</v>
      </c>
      <c r="AQ335" s="12" t="b">
        <v>1</v>
      </c>
      <c r="AR335" s="12" t="str">
        <f>HYPERLINK("https://www.google.com/search?q=Siemens","Siemens")</f>
        <v>Siemens</v>
      </c>
      <c r="BR335" s="12" t="s">
        <v>178</v>
      </c>
      <c r="BV335" s="12" t="s">
        <v>210</v>
      </c>
      <c r="CF335" s="12" t="s">
        <v>187</v>
      </c>
      <c r="CS335" s="12" t="s">
        <v>181</v>
      </c>
      <c r="DA335" s="12">
        <v>2</v>
      </c>
      <c r="DN335" s="12" t="b">
        <v>1</v>
      </c>
      <c r="DQ335">
        <f t="shared" si="250"/>
        <v>10</v>
      </c>
      <c r="DR335">
        <f t="shared" si="251"/>
        <v>1</v>
      </c>
      <c r="DS335" cm="1">
        <f t="array" ref="DS335">IF(AF335="&lt;0.2 ips",1,O.5)</f>
        <v>1</v>
      </c>
      <c r="DT335">
        <v>0.2</v>
      </c>
      <c r="DU335">
        <v>0.4</v>
      </c>
      <c r="DV335">
        <v>1</v>
      </c>
      <c r="DW335">
        <v>0.9</v>
      </c>
      <c r="DX335">
        <f t="shared" si="252"/>
        <v>0.8</v>
      </c>
      <c r="DY335">
        <f t="shared" si="253"/>
        <v>267.8389692799372</v>
      </c>
      <c r="DZ335">
        <f t="shared" si="254"/>
        <v>3.0575224803645801E-2</v>
      </c>
      <c r="EA335">
        <f t="shared" si="255"/>
        <v>0.4</v>
      </c>
    </row>
    <row r="336" spans="1:131" ht="90" hidden="1" x14ac:dyDescent="0.25">
      <c r="A336" t="s">
        <v>863</v>
      </c>
      <c r="B336" t="s">
        <v>732</v>
      </c>
      <c r="C336" t="s">
        <v>733</v>
      </c>
      <c r="D336" t="s">
        <v>856</v>
      </c>
      <c r="E336" t="s">
        <v>857</v>
      </c>
      <c r="F336" t="s">
        <v>134</v>
      </c>
      <c r="G336" t="s">
        <v>201</v>
      </c>
      <c r="H336" t="s">
        <v>212</v>
      </c>
      <c r="I336" t="s">
        <v>201</v>
      </c>
      <c r="L336" s="11" t="s">
        <v>773</v>
      </c>
      <c r="M336" t="s">
        <v>137</v>
      </c>
      <c r="N336" t="b">
        <v>0</v>
      </c>
      <c r="P336" s="12"/>
      <c r="Q336" s="12"/>
      <c r="T336" t="s">
        <v>203</v>
      </c>
      <c r="X336" s="12">
        <v>5800</v>
      </c>
      <c r="Y336" s="12">
        <v>660</v>
      </c>
      <c r="Z336" s="12">
        <v>1500</v>
      </c>
      <c r="AA336" s="12" t="s">
        <v>169</v>
      </c>
      <c r="AB336">
        <f t="shared" si="249"/>
        <v>125</v>
      </c>
      <c r="AC336" t="s">
        <v>148</v>
      </c>
      <c r="AE336" s="12" t="s">
        <v>144</v>
      </c>
      <c r="AF336" s="12" t="s">
        <v>171</v>
      </c>
      <c r="AI336" s="12" t="s">
        <v>206</v>
      </c>
      <c r="AJ336" s="12" t="s">
        <v>207</v>
      </c>
      <c r="AK336" s="12" t="s">
        <v>208</v>
      </c>
      <c r="AL336" s="12" t="s">
        <v>174</v>
      </c>
      <c r="AM336" s="12">
        <v>35</v>
      </c>
      <c r="AN336" t="s">
        <v>175</v>
      </c>
      <c r="AO336" s="12">
        <v>2</v>
      </c>
      <c r="AP336" t="s">
        <v>176</v>
      </c>
      <c r="AQ336" s="12" t="b">
        <v>1</v>
      </c>
      <c r="AR336" s="12" t="str">
        <f>HYPERLINK("https://www.google.com/search?q=Siemens","Siemens")</f>
        <v>Siemens</v>
      </c>
      <c r="BR336" s="12" t="s">
        <v>178</v>
      </c>
      <c r="BV336" s="12" t="s">
        <v>210</v>
      </c>
      <c r="CF336" s="12" t="s">
        <v>187</v>
      </c>
      <c r="CS336" s="12" t="s">
        <v>181</v>
      </c>
      <c r="DA336" s="12">
        <v>2</v>
      </c>
      <c r="DN336" s="12" t="b">
        <v>1</v>
      </c>
      <c r="DQ336">
        <f t="shared" si="250"/>
        <v>10</v>
      </c>
      <c r="DR336">
        <f t="shared" si="251"/>
        <v>1</v>
      </c>
      <c r="DS336" cm="1">
        <f t="array" ref="DS336">IF(AF336="&lt;0.2 ips",1,O.5)</f>
        <v>1</v>
      </c>
      <c r="DT336">
        <v>0.2</v>
      </c>
      <c r="DU336">
        <v>0.4</v>
      </c>
      <c r="DV336">
        <v>1</v>
      </c>
      <c r="DW336">
        <v>0.9</v>
      </c>
      <c r="DX336">
        <f t="shared" si="252"/>
        <v>0.8</v>
      </c>
      <c r="DY336">
        <f t="shared" si="253"/>
        <v>267.8389692799372</v>
      </c>
      <c r="DZ336">
        <f t="shared" si="254"/>
        <v>3.0575224803645801E-2</v>
      </c>
      <c r="EA336">
        <f t="shared" si="255"/>
        <v>0.4</v>
      </c>
    </row>
    <row r="337" spans="1:131" ht="120" hidden="1" x14ac:dyDescent="0.25">
      <c r="A337" t="s">
        <v>864</v>
      </c>
      <c r="B337" t="s">
        <v>732</v>
      </c>
      <c r="C337" t="s">
        <v>733</v>
      </c>
      <c r="D337" t="s">
        <v>856</v>
      </c>
      <c r="E337" t="s">
        <v>857</v>
      </c>
      <c r="F337" t="s">
        <v>778</v>
      </c>
      <c r="G337" t="s">
        <v>192</v>
      </c>
      <c r="H337" t="s">
        <v>141</v>
      </c>
      <c r="I337" t="s">
        <v>142</v>
      </c>
      <c r="L337" s="11" t="s">
        <v>779</v>
      </c>
      <c r="M337" t="s">
        <v>137</v>
      </c>
      <c r="N337" t="b">
        <v>0</v>
      </c>
      <c r="Y337" s="12"/>
      <c r="AE337" s="12" t="s">
        <v>205</v>
      </c>
      <c r="AI337" s="12" t="s">
        <v>206</v>
      </c>
      <c r="AJ337" s="12" t="s">
        <v>207</v>
      </c>
      <c r="AK337" s="12" t="s">
        <v>208</v>
      </c>
      <c r="AR337" s="12" t="str">
        <f>HYPERLINK("https://www.google.com/search?q=","")</f>
        <v/>
      </c>
      <c r="AS337">
        <v>300</v>
      </c>
      <c r="AT337" t="s">
        <v>148</v>
      </c>
      <c r="AU337">
        <v>1250</v>
      </c>
      <c r="AV337" t="s">
        <v>148</v>
      </c>
      <c r="AW337">
        <v>1300</v>
      </c>
      <c r="AX337" t="s">
        <v>148</v>
      </c>
      <c r="AY337" s="12">
        <v>280</v>
      </c>
      <c r="AZ337" t="s">
        <v>149</v>
      </c>
      <c r="BF337" s="12" t="s">
        <v>780</v>
      </c>
      <c r="BH337" s="12" t="s">
        <v>458</v>
      </c>
      <c r="BI337" s="12" t="s">
        <v>152</v>
      </c>
      <c r="BL337" s="12" t="s">
        <v>412</v>
      </c>
      <c r="BN337" s="12" t="s">
        <v>154</v>
      </c>
      <c r="BP337" s="12" t="s">
        <v>155</v>
      </c>
      <c r="BT337" s="12" t="s">
        <v>781</v>
      </c>
      <c r="BV337" s="12" t="s">
        <v>573</v>
      </c>
      <c r="BY337" s="12" t="s">
        <v>155</v>
      </c>
      <c r="CA337" s="12" t="s">
        <v>218</v>
      </c>
      <c r="CD337" s="12">
        <v>250</v>
      </c>
      <c r="CE337" t="s">
        <v>148</v>
      </c>
      <c r="CH337" s="12" t="s">
        <v>159</v>
      </c>
      <c r="CU337" s="12" t="s">
        <v>412</v>
      </c>
      <c r="DC337" s="12" t="b">
        <v>0</v>
      </c>
      <c r="DD337" s="12" t="s">
        <v>626</v>
      </c>
      <c r="DG337" s="12" t="s">
        <v>459</v>
      </c>
      <c r="DV337">
        <f t="shared" ref="DV337:DV341" si="256">IF(AA339="Horizontal",1,0.5)</f>
        <v>0.5</v>
      </c>
    </row>
    <row r="338" spans="1:131" hidden="1" x14ac:dyDescent="0.25">
      <c r="A338" t="s">
        <v>865</v>
      </c>
      <c r="B338" t="s">
        <v>732</v>
      </c>
      <c r="C338" t="s">
        <v>733</v>
      </c>
      <c r="D338" t="s">
        <v>866</v>
      </c>
      <c r="E338" t="s">
        <v>867</v>
      </c>
      <c r="F338" t="s">
        <v>736</v>
      </c>
      <c r="G338" t="s">
        <v>618</v>
      </c>
      <c r="H338" t="s">
        <v>354</v>
      </c>
      <c r="I338" t="s">
        <v>355</v>
      </c>
      <c r="M338" t="s">
        <v>137</v>
      </c>
      <c r="N338" t="b">
        <v>0</v>
      </c>
      <c r="AR338" s="12" t="str">
        <f>HYPERLINK("https://www.google.com/search?q=","")</f>
        <v/>
      </c>
      <c r="CC338" s="12" t="b">
        <v>1</v>
      </c>
      <c r="CI338" s="12"/>
      <c r="CJ338" s="12" t="s">
        <v>609</v>
      </c>
      <c r="CK338" s="12" t="s">
        <v>610</v>
      </c>
      <c r="CL338" s="12"/>
      <c r="CM338" s="12"/>
      <c r="CN338" t="s">
        <v>356</v>
      </c>
      <c r="CO338" s="12" t="s">
        <v>620</v>
      </c>
      <c r="DD338" s="12" t="s">
        <v>155</v>
      </c>
      <c r="DG338" s="12" t="s">
        <v>737</v>
      </c>
      <c r="DV338">
        <f t="shared" si="256"/>
        <v>0.5</v>
      </c>
    </row>
    <row r="339" spans="1:131" ht="180" hidden="1" x14ac:dyDescent="0.25">
      <c r="A339" t="s">
        <v>868</v>
      </c>
      <c r="B339" t="s">
        <v>732</v>
      </c>
      <c r="C339" t="s">
        <v>733</v>
      </c>
      <c r="D339" t="s">
        <v>866</v>
      </c>
      <c r="E339" t="s">
        <v>867</v>
      </c>
      <c r="F339" t="s">
        <v>736</v>
      </c>
      <c r="G339" t="s">
        <v>618</v>
      </c>
      <c r="H339" t="s">
        <v>166</v>
      </c>
      <c r="I339" t="s">
        <v>739</v>
      </c>
      <c r="L339" s="11" t="s">
        <v>740</v>
      </c>
      <c r="M339" t="s">
        <v>137</v>
      </c>
      <c r="N339" t="b">
        <v>0</v>
      </c>
      <c r="P339" s="12"/>
      <c r="Q339" s="12"/>
      <c r="Z339" s="12"/>
      <c r="AE339" s="12" t="s">
        <v>144</v>
      </c>
      <c r="AI339" s="12" t="s">
        <v>206</v>
      </c>
      <c r="AJ339" s="12" t="s">
        <v>207</v>
      </c>
      <c r="AK339" s="12" t="s">
        <v>208</v>
      </c>
      <c r="AR339" s="12" t="str">
        <f>HYPERLINK("https://www.google.com/search?q=HAZLETON","HAZLETON")</f>
        <v>HAZLETON</v>
      </c>
      <c r="BL339" s="16" t="s">
        <v>339</v>
      </c>
      <c r="BN339" s="12" t="s">
        <v>154</v>
      </c>
      <c r="CA339" s="12" t="s">
        <v>218</v>
      </c>
      <c r="DD339" t="s">
        <v>626</v>
      </c>
      <c r="DV339">
        <f t="shared" si="256"/>
        <v>0.5</v>
      </c>
    </row>
    <row r="340" spans="1:131" ht="240" hidden="1" x14ac:dyDescent="0.25">
      <c r="A340" t="s">
        <v>869</v>
      </c>
      <c r="B340" t="s">
        <v>732</v>
      </c>
      <c r="C340" t="s">
        <v>733</v>
      </c>
      <c r="D340" t="s">
        <v>866</v>
      </c>
      <c r="E340" t="s">
        <v>867</v>
      </c>
      <c r="F340" t="s">
        <v>736</v>
      </c>
      <c r="G340" t="s">
        <v>618</v>
      </c>
      <c r="H340" t="s">
        <v>359</v>
      </c>
      <c r="I340" t="s">
        <v>663</v>
      </c>
      <c r="L340" s="11" t="s">
        <v>769</v>
      </c>
      <c r="M340" t="s">
        <v>137</v>
      </c>
      <c r="N340" t="b">
        <v>0</v>
      </c>
      <c r="AI340" s="12" t="s">
        <v>206</v>
      </c>
      <c r="AJ340" s="12" t="s">
        <v>207</v>
      </c>
      <c r="AK340" s="12" t="s">
        <v>208</v>
      </c>
      <c r="AS340">
        <v>300</v>
      </c>
      <c r="AT340" t="s">
        <v>148</v>
      </c>
      <c r="AU340">
        <v>450</v>
      </c>
      <c r="AV340" t="s">
        <v>148</v>
      </c>
      <c r="AW340">
        <v>700</v>
      </c>
      <c r="AX340" t="s">
        <v>148</v>
      </c>
      <c r="AY340" s="12">
        <v>130</v>
      </c>
      <c r="AZ340" t="s">
        <v>149</v>
      </c>
      <c r="BL340" s="12" t="s">
        <v>153</v>
      </c>
      <c r="BN340" s="12" t="s">
        <v>154</v>
      </c>
      <c r="BP340" s="12" t="s">
        <v>155</v>
      </c>
      <c r="BT340" s="12" t="s">
        <v>604</v>
      </c>
      <c r="BV340" s="12" t="s">
        <v>743</v>
      </c>
      <c r="BY340" s="12" t="s">
        <v>155</v>
      </c>
      <c r="CA340" s="12" t="s">
        <v>218</v>
      </c>
      <c r="CD340" s="12">
        <v>200</v>
      </c>
      <c r="CE340" t="s">
        <v>148</v>
      </c>
      <c r="CH340" s="15" t="s">
        <v>577</v>
      </c>
      <c r="CU340" s="12" t="s">
        <v>578</v>
      </c>
      <c r="DC340" s="12" t="b">
        <v>0</v>
      </c>
      <c r="DD340" s="12" t="s">
        <v>626</v>
      </c>
      <c r="DG340" s="12"/>
      <c r="DL340" t="s">
        <v>629</v>
      </c>
      <c r="DP340" s="12">
        <v>3</v>
      </c>
      <c r="DV340">
        <f t="shared" si="256"/>
        <v>1</v>
      </c>
    </row>
    <row r="341" spans="1:131" hidden="1" x14ac:dyDescent="0.25">
      <c r="A341" t="s">
        <v>870</v>
      </c>
      <c r="B341" t="s">
        <v>732</v>
      </c>
      <c r="C341" t="s">
        <v>733</v>
      </c>
      <c r="D341" t="s">
        <v>866</v>
      </c>
      <c r="E341" t="s">
        <v>867</v>
      </c>
      <c r="F341" t="s">
        <v>736</v>
      </c>
      <c r="G341" t="s">
        <v>618</v>
      </c>
      <c r="H341" t="s">
        <v>612</v>
      </c>
      <c r="I341" t="s">
        <v>613</v>
      </c>
      <c r="L341" t="s">
        <v>840</v>
      </c>
      <c r="M341" t="s">
        <v>137</v>
      </c>
      <c r="N341" t="b">
        <v>0</v>
      </c>
      <c r="CA341" s="12" t="s">
        <v>218</v>
      </c>
      <c r="DV341">
        <f t="shared" si="256"/>
        <v>1</v>
      </c>
    </row>
    <row r="342" spans="1:131" ht="90" hidden="1" x14ac:dyDescent="0.25">
      <c r="A342" t="s">
        <v>871</v>
      </c>
      <c r="B342" t="s">
        <v>732</v>
      </c>
      <c r="C342" t="s">
        <v>733</v>
      </c>
      <c r="D342" t="s">
        <v>866</v>
      </c>
      <c r="E342" t="s">
        <v>867</v>
      </c>
      <c r="F342" t="s">
        <v>134</v>
      </c>
      <c r="G342" t="s">
        <v>201</v>
      </c>
      <c r="H342" t="s">
        <v>772</v>
      </c>
      <c r="I342" t="s">
        <v>201</v>
      </c>
      <c r="L342" s="11" t="s">
        <v>773</v>
      </c>
      <c r="M342" t="s">
        <v>137</v>
      </c>
      <c r="N342" t="b">
        <v>0</v>
      </c>
      <c r="P342" s="12"/>
      <c r="Q342" s="12"/>
      <c r="T342" t="s">
        <v>203</v>
      </c>
      <c r="X342" s="12">
        <v>5800</v>
      </c>
      <c r="Y342" s="12">
        <v>660</v>
      </c>
      <c r="Z342" s="12">
        <v>1500</v>
      </c>
      <c r="AA342" s="12" t="s">
        <v>169</v>
      </c>
      <c r="AB342">
        <f t="shared" ref="AB342:AB344" si="257">25*5</f>
        <v>125</v>
      </c>
      <c r="AC342" t="s">
        <v>148</v>
      </c>
      <c r="AE342" s="12" t="s">
        <v>144</v>
      </c>
      <c r="AF342" s="12" t="s">
        <v>171</v>
      </c>
      <c r="AI342" s="12" t="s">
        <v>206</v>
      </c>
      <c r="AJ342" s="12" t="s">
        <v>207</v>
      </c>
      <c r="AK342" s="12" t="s">
        <v>208</v>
      </c>
      <c r="AL342" s="12" t="s">
        <v>174</v>
      </c>
      <c r="AM342" s="12">
        <v>35</v>
      </c>
      <c r="AN342" t="s">
        <v>175</v>
      </c>
      <c r="AO342" s="12">
        <v>2</v>
      </c>
      <c r="AP342" t="s">
        <v>176</v>
      </c>
      <c r="AQ342" s="12" t="b">
        <v>1</v>
      </c>
      <c r="AR342" s="12" t="str">
        <f>HYPERLINK("https://www.google.com/search?q=Siemens","Siemens")</f>
        <v>Siemens</v>
      </c>
      <c r="BR342" s="12" t="s">
        <v>178</v>
      </c>
      <c r="BV342" s="12" t="s">
        <v>210</v>
      </c>
      <c r="CF342" s="12" t="s">
        <v>187</v>
      </c>
      <c r="CS342" s="12" t="s">
        <v>181</v>
      </c>
      <c r="DA342" s="12">
        <v>2</v>
      </c>
      <c r="DN342" s="12" t="b">
        <v>1</v>
      </c>
      <c r="DQ342">
        <f t="shared" ref="DQ342:DQ344" si="258">IF(T342="Ball",10,0)</f>
        <v>10</v>
      </c>
      <c r="DR342">
        <f t="shared" ref="DR342:DR344" si="259">IF(AE342="125°F (51.7°C) - 150°F (65.6°C)",1,0.5)</f>
        <v>1</v>
      </c>
      <c r="DS342" cm="1">
        <f t="array" ref="DS342">IF(AF342="&lt;0.2 ips",1,O.5)</f>
        <v>1</v>
      </c>
      <c r="DT342">
        <v>0.2</v>
      </c>
      <c r="DU342">
        <v>0.4</v>
      </c>
      <c r="DV342">
        <v>1</v>
      </c>
      <c r="DW342">
        <v>0.9</v>
      </c>
      <c r="DX342">
        <f t="shared" ref="DX342:DX344" si="260">PRODUCT(DQ342:DV342)</f>
        <v>0.8</v>
      </c>
      <c r="DY342">
        <f t="shared" ref="DY342:DY344" si="261">+DX342*((14000000/(Z342*AB342^0.5))-4*AB342)</f>
        <v>267.8389692799372</v>
      </c>
      <c r="DZ342">
        <f t="shared" ref="DZ342:DZ344" si="262">+DY342/8760</f>
        <v>3.0575224803645801E-2</v>
      </c>
      <c r="EA342">
        <f t="shared" ref="EA342:EA344" si="263">ROUND(+DZ342*12,1)</f>
        <v>0.4</v>
      </c>
    </row>
    <row r="343" spans="1:131" ht="90" hidden="1" x14ac:dyDescent="0.25">
      <c r="A343" t="s">
        <v>872</v>
      </c>
      <c r="B343" t="s">
        <v>732</v>
      </c>
      <c r="C343" t="s">
        <v>733</v>
      </c>
      <c r="D343" t="s">
        <v>866</v>
      </c>
      <c r="E343" t="s">
        <v>867</v>
      </c>
      <c r="F343" t="s">
        <v>134</v>
      </c>
      <c r="G343" t="s">
        <v>201</v>
      </c>
      <c r="H343" t="s">
        <v>775</v>
      </c>
      <c r="I343" t="s">
        <v>201</v>
      </c>
      <c r="L343" s="11" t="s">
        <v>773</v>
      </c>
      <c r="M343" t="s">
        <v>137</v>
      </c>
      <c r="N343" t="b">
        <v>0</v>
      </c>
      <c r="P343" s="12"/>
      <c r="Q343" s="12"/>
      <c r="T343" t="s">
        <v>203</v>
      </c>
      <c r="X343" s="12">
        <v>5800</v>
      </c>
      <c r="Y343" s="12">
        <v>660</v>
      </c>
      <c r="Z343" s="12">
        <v>1500</v>
      </c>
      <c r="AA343" s="12" t="s">
        <v>169</v>
      </c>
      <c r="AB343">
        <f t="shared" si="257"/>
        <v>125</v>
      </c>
      <c r="AC343" t="s">
        <v>148</v>
      </c>
      <c r="AE343" s="12" t="s">
        <v>144</v>
      </c>
      <c r="AF343" s="12" t="s">
        <v>171</v>
      </c>
      <c r="AI343" s="12" t="s">
        <v>206</v>
      </c>
      <c r="AJ343" s="12" t="s">
        <v>207</v>
      </c>
      <c r="AK343" s="12" t="s">
        <v>208</v>
      </c>
      <c r="AL343" s="12" t="s">
        <v>174</v>
      </c>
      <c r="AM343" s="12">
        <v>35</v>
      </c>
      <c r="AN343" t="s">
        <v>175</v>
      </c>
      <c r="AO343" s="12">
        <v>2</v>
      </c>
      <c r="AP343" t="s">
        <v>176</v>
      </c>
      <c r="AQ343" s="12" t="b">
        <v>1</v>
      </c>
      <c r="AR343" s="12" t="str">
        <f>HYPERLINK("https://www.google.com/search?q=Siemens","Siemens")</f>
        <v>Siemens</v>
      </c>
      <c r="BR343" s="12" t="s">
        <v>178</v>
      </c>
      <c r="BV343" s="12" t="s">
        <v>210</v>
      </c>
      <c r="CF343" s="12" t="s">
        <v>187</v>
      </c>
      <c r="CS343" s="12" t="s">
        <v>181</v>
      </c>
      <c r="DA343" s="12">
        <v>2</v>
      </c>
      <c r="DN343" s="12" t="b">
        <v>1</v>
      </c>
      <c r="DQ343">
        <f t="shared" si="258"/>
        <v>10</v>
      </c>
      <c r="DR343">
        <f t="shared" si="259"/>
        <v>1</v>
      </c>
      <c r="DS343" cm="1">
        <f t="array" ref="DS343">IF(AF343="&lt;0.2 ips",1,O.5)</f>
        <v>1</v>
      </c>
      <c r="DT343">
        <v>0.2</v>
      </c>
      <c r="DU343">
        <v>0.4</v>
      </c>
      <c r="DV343">
        <v>1</v>
      </c>
      <c r="DW343">
        <v>0.9</v>
      </c>
      <c r="DX343">
        <f t="shared" si="260"/>
        <v>0.8</v>
      </c>
      <c r="DY343">
        <f t="shared" si="261"/>
        <v>267.8389692799372</v>
      </c>
      <c r="DZ343">
        <f t="shared" si="262"/>
        <v>3.0575224803645801E-2</v>
      </c>
      <c r="EA343">
        <f t="shared" si="263"/>
        <v>0.4</v>
      </c>
    </row>
    <row r="344" spans="1:131" ht="90" hidden="1" x14ac:dyDescent="0.25">
      <c r="A344" t="s">
        <v>873</v>
      </c>
      <c r="B344" t="s">
        <v>732</v>
      </c>
      <c r="C344" t="s">
        <v>733</v>
      </c>
      <c r="D344" t="s">
        <v>866</v>
      </c>
      <c r="E344" t="s">
        <v>867</v>
      </c>
      <c r="F344" t="s">
        <v>134</v>
      </c>
      <c r="G344" t="s">
        <v>201</v>
      </c>
      <c r="H344" t="s">
        <v>212</v>
      </c>
      <c r="I344" t="s">
        <v>201</v>
      </c>
      <c r="L344" s="11" t="s">
        <v>773</v>
      </c>
      <c r="M344" t="s">
        <v>137</v>
      </c>
      <c r="N344" t="b">
        <v>0</v>
      </c>
      <c r="P344" s="12"/>
      <c r="Q344" s="12"/>
      <c r="T344" t="s">
        <v>203</v>
      </c>
      <c r="X344" s="12">
        <v>5800</v>
      </c>
      <c r="Y344" s="12">
        <v>660</v>
      </c>
      <c r="Z344" s="12">
        <v>1500</v>
      </c>
      <c r="AA344" s="12" t="s">
        <v>169</v>
      </c>
      <c r="AB344">
        <f t="shared" si="257"/>
        <v>125</v>
      </c>
      <c r="AC344" t="s">
        <v>148</v>
      </c>
      <c r="AE344" s="12" t="s">
        <v>144</v>
      </c>
      <c r="AF344" s="12" t="s">
        <v>171</v>
      </c>
      <c r="AI344" s="12" t="s">
        <v>206</v>
      </c>
      <c r="AJ344" s="12" t="s">
        <v>207</v>
      </c>
      <c r="AK344" s="12" t="s">
        <v>208</v>
      </c>
      <c r="AL344" s="12" t="s">
        <v>174</v>
      </c>
      <c r="AM344" s="12">
        <v>35</v>
      </c>
      <c r="AN344" t="s">
        <v>175</v>
      </c>
      <c r="AO344" s="12">
        <v>2</v>
      </c>
      <c r="AP344" t="s">
        <v>176</v>
      </c>
      <c r="AQ344" s="12" t="b">
        <v>1</v>
      </c>
      <c r="AR344" s="12" t="str">
        <f>HYPERLINK("https://www.google.com/search?q=Siemens","Siemens")</f>
        <v>Siemens</v>
      </c>
      <c r="BR344" s="12" t="s">
        <v>178</v>
      </c>
      <c r="BV344" s="12" t="s">
        <v>210</v>
      </c>
      <c r="CF344" s="12" t="s">
        <v>187</v>
      </c>
      <c r="CS344" s="12" t="s">
        <v>181</v>
      </c>
      <c r="DA344" s="12">
        <v>2</v>
      </c>
      <c r="DN344" s="12" t="b">
        <v>1</v>
      </c>
      <c r="DQ344">
        <f t="shared" si="258"/>
        <v>10</v>
      </c>
      <c r="DR344">
        <f t="shared" si="259"/>
        <v>1</v>
      </c>
      <c r="DS344" cm="1">
        <f t="array" ref="DS344">IF(AF344="&lt;0.2 ips",1,O.5)</f>
        <v>1</v>
      </c>
      <c r="DT344">
        <v>0.2</v>
      </c>
      <c r="DU344">
        <v>0.4</v>
      </c>
      <c r="DV344">
        <v>1</v>
      </c>
      <c r="DW344">
        <v>0.9</v>
      </c>
      <c r="DX344">
        <f t="shared" si="260"/>
        <v>0.8</v>
      </c>
      <c r="DY344">
        <f t="shared" si="261"/>
        <v>267.8389692799372</v>
      </c>
      <c r="DZ344">
        <f t="shared" si="262"/>
        <v>3.0575224803645801E-2</v>
      </c>
      <c r="EA344">
        <f t="shared" si="263"/>
        <v>0.4</v>
      </c>
    </row>
    <row r="345" spans="1:131" ht="120" hidden="1" x14ac:dyDescent="0.25">
      <c r="A345" t="s">
        <v>874</v>
      </c>
      <c r="B345" t="s">
        <v>732</v>
      </c>
      <c r="C345" t="s">
        <v>733</v>
      </c>
      <c r="D345" t="s">
        <v>866</v>
      </c>
      <c r="E345" t="s">
        <v>867</v>
      </c>
      <c r="F345" t="s">
        <v>778</v>
      </c>
      <c r="G345" t="s">
        <v>192</v>
      </c>
      <c r="H345" t="s">
        <v>141</v>
      </c>
      <c r="I345" t="s">
        <v>142</v>
      </c>
      <c r="L345" s="11" t="s">
        <v>779</v>
      </c>
      <c r="M345" t="s">
        <v>137</v>
      </c>
      <c r="N345" t="b">
        <v>0</v>
      </c>
      <c r="Y345" s="12"/>
      <c r="AE345" s="12" t="s">
        <v>205</v>
      </c>
      <c r="AI345" s="12" t="s">
        <v>206</v>
      </c>
      <c r="AJ345" s="12" t="s">
        <v>207</v>
      </c>
      <c r="AK345" s="12" t="s">
        <v>208</v>
      </c>
      <c r="AR345" s="12" t="str">
        <f>HYPERLINK("https://www.google.com/search?q=","")</f>
        <v/>
      </c>
      <c r="AS345">
        <v>300</v>
      </c>
      <c r="AT345" t="s">
        <v>148</v>
      </c>
      <c r="AU345">
        <v>1250</v>
      </c>
      <c r="AV345" t="s">
        <v>148</v>
      </c>
      <c r="AW345">
        <v>1300</v>
      </c>
      <c r="AX345" t="s">
        <v>148</v>
      </c>
      <c r="AY345" s="12">
        <v>280</v>
      </c>
      <c r="AZ345" t="s">
        <v>149</v>
      </c>
      <c r="BF345" s="12" t="s">
        <v>780</v>
      </c>
      <c r="BH345" s="12" t="s">
        <v>458</v>
      </c>
      <c r="BI345" s="12" t="s">
        <v>152</v>
      </c>
      <c r="BL345" s="12" t="s">
        <v>412</v>
      </c>
      <c r="BN345" s="12" t="s">
        <v>154</v>
      </c>
      <c r="BP345" s="12" t="s">
        <v>155</v>
      </c>
      <c r="BT345" s="12" t="s">
        <v>781</v>
      </c>
      <c r="BV345" s="12" t="s">
        <v>573</v>
      </c>
      <c r="BY345" s="12" t="s">
        <v>155</v>
      </c>
      <c r="CA345" s="12" t="s">
        <v>218</v>
      </c>
      <c r="CD345" s="12">
        <v>250</v>
      </c>
      <c r="CE345" t="s">
        <v>148</v>
      </c>
      <c r="CH345" s="12" t="s">
        <v>159</v>
      </c>
      <c r="CU345" s="12" t="s">
        <v>412</v>
      </c>
      <c r="DC345" s="12" t="b">
        <v>0</v>
      </c>
      <c r="DD345" s="12" t="s">
        <v>626</v>
      </c>
      <c r="DG345" s="12" t="s">
        <v>459</v>
      </c>
      <c r="DV345">
        <f t="shared" ref="DV345:DV349" si="264">IF(AA347="Horizontal",1,0.5)</f>
        <v>0.5</v>
      </c>
    </row>
    <row r="346" spans="1:131" hidden="1" x14ac:dyDescent="0.25">
      <c r="A346" t="s">
        <v>875</v>
      </c>
      <c r="B346" t="s">
        <v>732</v>
      </c>
      <c r="C346" t="s">
        <v>733</v>
      </c>
      <c r="D346" t="s">
        <v>876</v>
      </c>
      <c r="E346" t="s">
        <v>877</v>
      </c>
      <c r="F346" t="s">
        <v>736</v>
      </c>
      <c r="G346" t="s">
        <v>618</v>
      </c>
      <c r="H346" t="s">
        <v>354</v>
      </c>
      <c r="I346" t="s">
        <v>355</v>
      </c>
      <c r="M346" t="s">
        <v>137</v>
      </c>
      <c r="N346" t="b">
        <v>0</v>
      </c>
      <c r="AR346" s="12" t="str">
        <f>HYPERLINK("https://www.google.com/search?q=","")</f>
        <v/>
      </c>
      <c r="CC346" s="12" t="b">
        <v>1</v>
      </c>
      <c r="CI346" s="12"/>
      <c r="CJ346" s="12" t="s">
        <v>609</v>
      </c>
      <c r="CK346" s="12" t="s">
        <v>610</v>
      </c>
      <c r="CL346" s="12"/>
      <c r="CM346" s="12"/>
      <c r="CN346" t="s">
        <v>356</v>
      </c>
      <c r="CO346" s="12" t="s">
        <v>620</v>
      </c>
      <c r="DD346" s="12" t="s">
        <v>155</v>
      </c>
      <c r="DG346" s="12" t="s">
        <v>737</v>
      </c>
      <c r="DV346">
        <f t="shared" si="264"/>
        <v>0.5</v>
      </c>
    </row>
    <row r="347" spans="1:131" ht="180" hidden="1" x14ac:dyDescent="0.25">
      <c r="A347" t="s">
        <v>878</v>
      </c>
      <c r="B347" t="s">
        <v>732</v>
      </c>
      <c r="C347" t="s">
        <v>733</v>
      </c>
      <c r="D347" t="s">
        <v>876</v>
      </c>
      <c r="E347" t="s">
        <v>877</v>
      </c>
      <c r="F347" t="s">
        <v>736</v>
      </c>
      <c r="G347" t="s">
        <v>618</v>
      </c>
      <c r="H347" t="s">
        <v>166</v>
      </c>
      <c r="I347" t="s">
        <v>739</v>
      </c>
      <c r="L347" s="11" t="s">
        <v>740</v>
      </c>
      <c r="M347" t="s">
        <v>137</v>
      </c>
      <c r="N347" t="b">
        <v>0</v>
      </c>
      <c r="P347" s="12"/>
      <c r="Q347" s="12"/>
      <c r="Z347" s="12"/>
      <c r="AE347" s="12" t="s">
        <v>144</v>
      </c>
      <c r="AI347" s="12" t="s">
        <v>206</v>
      </c>
      <c r="AJ347" s="12" t="s">
        <v>207</v>
      </c>
      <c r="AK347" s="12" t="s">
        <v>208</v>
      </c>
      <c r="AR347" s="12" t="str">
        <f>HYPERLINK("https://www.google.com/search?q=HAZLETON","HAZLETON")</f>
        <v>HAZLETON</v>
      </c>
      <c r="BL347" s="16" t="s">
        <v>339</v>
      </c>
      <c r="BN347" s="12" t="s">
        <v>154</v>
      </c>
      <c r="CA347" s="12" t="s">
        <v>218</v>
      </c>
      <c r="DD347" t="s">
        <v>626</v>
      </c>
      <c r="DV347">
        <f t="shared" si="264"/>
        <v>0.5</v>
      </c>
    </row>
    <row r="348" spans="1:131" ht="240" hidden="1" x14ac:dyDescent="0.25">
      <c r="A348" t="s">
        <v>879</v>
      </c>
      <c r="B348" t="s">
        <v>732</v>
      </c>
      <c r="C348" t="s">
        <v>733</v>
      </c>
      <c r="D348" t="s">
        <v>876</v>
      </c>
      <c r="E348" t="s">
        <v>877</v>
      </c>
      <c r="F348" t="s">
        <v>736</v>
      </c>
      <c r="G348" t="s">
        <v>618</v>
      </c>
      <c r="H348" t="s">
        <v>359</v>
      </c>
      <c r="I348" t="s">
        <v>663</v>
      </c>
      <c r="L348" s="11" t="s">
        <v>769</v>
      </c>
      <c r="M348" t="s">
        <v>137</v>
      </c>
      <c r="N348" t="b">
        <v>0</v>
      </c>
      <c r="AI348" s="12" t="s">
        <v>206</v>
      </c>
      <c r="AJ348" s="12" t="s">
        <v>207</v>
      </c>
      <c r="AK348" s="12" t="s">
        <v>208</v>
      </c>
      <c r="AS348">
        <v>300</v>
      </c>
      <c r="AT348" t="s">
        <v>148</v>
      </c>
      <c r="AU348">
        <v>450</v>
      </c>
      <c r="AV348" t="s">
        <v>148</v>
      </c>
      <c r="AW348">
        <v>700</v>
      </c>
      <c r="AX348" t="s">
        <v>148</v>
      </c>
      <c r="AY348" s="12">
        <v>130</v>
      </c>
      <c r="AZ348" t="s">
        <v>149</v>
      </c>
      <c r="BL348" s="12" t="s">
        <v>153</v>
      </c>
      <c r="BN348" s="12" t="s">
        <v>154</v>
      </c>
      <c r="BP348" s="12" t="s">
        <v>155</v>
      </c>
      <c r="BT348" s="12" t="s">
        <v>604</v>
      </c>
      <c r="BV348" s="12" t="s">
        <v>743</v>
      </c>
      <c r="BY348" s="12" t="s">
        <v>155</v>
      </c>
      <c r="CA348" s="12" t="s">
        <v>218</v>
      </c>
      <c r="CD348" s="12">
        <v>200</v>
      </c>
      <c r="CE348" t="s">
        <v>148</v>
      </c>
      <c r="CH348" s="15" t="s">
        <v>577</v>
      </c>
      <c r="CU348" s="12" t="s">
        <v>578</v>
      </c>
      <c r="DC348" s="12" t="b">
        <v>0</v>
      </c>
      <c r="DD348" s="12" t="s">
        <v>626</v>
      </c>
      <c r="DG348" s="12"/>
      <c r="DL348" t="s">
        <v>629</v>
      </c>
      <c r="DP348" s="12">
        <v>3</v>
      </c>
      <c r="DV348">
        <f t="shared" si="264"/>
        <v>1</v>
      </c>
    </row>
    <row r="349" spans="1:131" ht="330" hidden="1" x14ac:dyDescent="0.25">
      <c r="A349" t="s">
        <v>880</v>
      </c>
      <c r="B349" t="s">
        <v>732</v>
      </c>
      <c r="C349" t="s">
        <v>733</v>
      </c>
      <c r="D349" t="s">
        <v>876</v>
      </c>
      <c r="E349" t="s">
        <v>877</v>
      </c>
      <c r="F349" t="s">
        <v>736</v>
      </c>
      <c r="G349" t="s">
        <v>618</v>
      </c>
      <c r="H349" t="s">
        <v>612</v>
      </c>
      <c r="I349" t="s">
        <v>613</v>
      </c>
      <c r="L349" s="11" t="s">
        <v>745</v>
      </c>
      <c r="M349" t="s">
        <v>137</v>
      </c>
      <c r="N349" t="b">
        <v>0</v>
      </c>
      <c r="CA349" s="12" t="s">
        <v>218</v>
      </c>
      <c r="DV349">
        <f t="shared" si="264"/>
        <v>1</v>
      </c>
    </row>
    <row r="350" spans="1:131" ht="90" hidden="1" x14ac:dyDescent="0.25">
      <c r="A350" t="s">
        <v>881</v>
      </c>
      <c r="B350" t="s">
        <v>732</v>
      </c>
      <c r="C350" t="s">
        <v>733</v>
      </c>
      <c r="D350" t="s">
        <v>876</v>
      </c>
      <c r="E350" t="s">
        <v>877</v>
      </c>
      <c r="F350" t="s">
        <v>134</v>
      </c>
      <c r="G350" t="s">
        <v>201</v>
      </c>
      <c r="H350" t="s">
        <v>772</v>
      </c>
      <c r="I350" t="s">
        <v>201</v>
      </c>
      <c r="L350" s="11" t="s">
        <v>773</v>
      </c>
      <c r="M350" t="s">
        <v>137</v>
      </c>
      <c r="N350" t="b">
        <v>0</v>
      </c>
      <c r="P350" s="12"/>
      <c r="Q350" s="12"/>
      <c r="T350" t="s">
        <v>203</v>
      </c>
      <c r="X350" s="12">
        <v>5800</v>
      </c>
      <c r="Y350" s="12">
        <v>660</v>
      </c>
      <c r="Z350" s="12">
        <v>1500</v>
      </c>
      <c r="AA350" s="12" t="s">
        <v>169</v>
      </c>
      <c r="AB350">
        <f t="shared" ref="AB350:AB351" si="265">25*5</f>
        <v>125</v>
      </c>
      <c r="AC350" t="s">
        <v>148</v>
      </c>
      <c r="AE350" s="12" t="s">
        <v>144</v>
      </c>
      <c r="AF350" s="12" t="s">
        <v>171</v>
      </c>
      <c r="AI350" s="12" t="s">
        <v>206</v>
      </c>
      <c r="AJ350" s="12" t="s">
        <v>207</v>
      </c>
      <c r="AK350" s="12" t="s">
        <v>208</v>
      </c>
      <c r="AL350" s="12" t="s">
        <v>174</v>
      </c>
      <c r="AM350" s="12">
        <v>35</v>
      </c>
      <c r="AN350" t="s">
        <v>175</v>
      </c>
      <c r="AO350" s="12">
        <v>2</v>
      </c>
      <c r="AP350" t="s">
        <v>176</v>
      </c>
      <c r="AQ350" s="12" t="b">
        <v>1</v>
      </c>
      <c r="AR350" s="12" t="str">
        <f>HYPERLINK("https://www.google.com/search?q=Siemens","Siemens")</f>
        <v>Siemens</v>
      </c>
      <c r="BR350" s="12" t="s">
        <v>178</v>
      </c>
      <c r="BV350" s="12" t="s">
        <v>210</v>
      </c>
      <c r="CF350" s="12" t="s">
        <v>187</v>
      </c>
      <c r="CS350" s="12" t="s">
        <v>181</v>
      </c>
      <c r="DA350" s="12">
        <v>2</v>
      </c>
      <c r="DN350" s="12" t="b">
        <v>1</v>
      </c>
      <c r="DQ350">
        <f t="shared" ref="DQ350:DQ352" si="266">IF(T350="Ball",10,0)</f>
        <v>10</v>
      </c>
      <c r="DR350">
        <f t="shared" ref="DR350:DR352" si="267">IF(AE350="125°F (51.7°C) - 150°F (65.6°C)",1,0.5)</f>
        <v>1</v>
      </c>
      <c r="DS350" cm="1">
        <f t="array" ref="DS350">IF(AF350="&lt;0.2 ips",1,O.5)</f>
        <v>1</v>
      </c>
      <c r="DT350">
        <v>0.2</v>
      </c>
      <c r="DU350">
        <v>0.4</v>
      </c>
      <c r="DV350">
        <v>1</v>
      </c>
      <c r="DW350">
        <v>0.9</v>
      </c>
      <c r="DX350">
        <f t="shared" ref="DX350:DX352" si="268">PRODUCT(DQ350:DV350)</f>
        <v>0.8</v>
      </c>
      <c r="DY350">
        <f t="shared" ref="DY350:DY351" si="269">+DX350*((14000000/(Z350*AB350^0.5))-4*AB350)</f>
        <v>267.8389692799372</v>
      </c>
      <c r="DZ350">
        <f t="shared" ref="DZ350:DZ352" si="270">+DY350/8760</f>
        <v>3.0575224803645801E-2</v>
      </c>
      <c r="EA350">
        <f t="shared" ref="EA350:EA352" si="271">ROUND(+DZ350*12,1)</f>
        <v>0.4</v>
      </c>
    </row>
    <row r="351" spans="1:131" ht="90" hidden="1" x14ac:dyDescent="0.25">
      <c r="A351" t="s">
        <v>882</v>
      </c>
      <c r="B351" t="s">
        <v>732</v>
      </c>
      <c r="C351" t="s">
        <v>733</v>
      </c>
      <c r="D351" t="s">
        <v>876</v>
      </c>
      <c r="E351" t="s">
        <v>877</v>
      </c>
      <c r="F351" t="s">
        <v>134</v>
      </c>
      <c r="G351" t="s">
        <v>201</v>
      </c>
      <c r="H351" t="s">
        <v>775</v>
      </c>
      <c r="I351" t="s">
        <v>201</v>
      </c>
      <c r="L351" s="11" t="s">
        <v>773</v>
      </c>
      <c r="M351" t="s">
        <v>137</v>
      </c>
      <c r="N351" t="b">
        <v>0</v>
      </c>
      <c r="P351" s="12"/>
      <c r="Q351" s="12"/>
      <c r="T351" t="s">
        <v>203</v>
      </c>
      <c r="X351" s="12">
        <v>5800</v>
      </c>
      <c r="Y351" s="12">
        <v>660</v>
      </c>
      <c r="Z351" s="12">
        <v>1500</v>
      </c>
      <c r="AA351" s="12" t="s">
        <v>169</v>
      </c>
      <c r="AB351">
        <f t="shared" si="265"/>
        <v>125</v>
      </c>
      <c r="AC351" t="s">
        <v>148</v>
      </c>
      <c r="AE351" s="12" t="s">
        <v>144</v>
      </c>
      <c r="AF351" s="12" t="s">
        <v>171</v>
      </c>
      <c r="AI351" s="12" t="s">
        <v>206</v>
      </c>
      <c r="AJ351" s="12" t="s">
        <v>207</v>
      </c>
      <c r="AK351" s="12" t="s">
        <v>208</v>
      </c>
      <c r="AL351" s="12" t="s">
        <v>174</v>
      </c>
      <c r="AM351" s="12">
        <v>35</v>
      </c>
      <c r="AN351" t="s">
        <v>175</v>
      </c>
      <c r="AO351" s="12">
        <v>2</v>
      </c>
      <c r="AP351" t="s">
        <v>176</v>
      </c>
      <c r="AQ351" s="12" t="b">
        <v>1</v>
      </c>
      <c r="AR351" s="12" t="str">
        <f>HYPERLINK("https://www.google.com/search?q=Siemens","Siemens")</f>
        <v>Siemens</v>
      </c>
      <c r="BR351" s="12" t="s">
        <v>178</v>
      </c>
      <c r="BV351" s="12" t="s">
        <v>210</v>
      </c>
      <c r="CF351" s="12" t="s">
        <v>187</v>
      </c>
      <c r="CS351" s="12" t="s">
        <v>181</v>
      </c>
      <c r="DA351" s="12">
        <v>2</v>
      </c>
      <c r="DN351" s="12" t="b">
        <v>1</v>
      </c>
      <c r="DQ351">
        <f t="shared" si="266"/>
        <v>10</v>
      </c>
      <c r="DR351">
        <f t="shared" si="267"/>
        <v>1</v>
      </c>
      <c r="DS351" cm="1">
        <f t="array" ref="DS351">IF(AF351="&lt;0.2 ips",1,O.5)</f>
        <v>1</v>
      </c>
      <c r="DT351">
        <v>0.2</v>
      </c>
      <c r="DU351">
        <v>0.4</v>
      </c>
      <c r="DV351">
        <v>1</v>
      </c>
      <c r="DW351">
        <v>0.9</v>
      </c>
      <c r="DX351">
        <f t="shared" si="268"/>
        <v>0.8</v>
      </c>
      <c r="DY351">
        <f t="shared" si="269"/>
        <v>267.8389692799372</v>
      </c>
      <c r="DZ351">
        <f t="shared" si="270"/>
        <v>3.0575224803645801E-2</v>
      </c>
      <c r="EA351">
        <f t="shared" si="271"/>
        <v>0.4</v>
      </c>
    </row>
    <row r="352" spans="1:131" ht="90" hidden="1" x14ac:dyDescent="0.25">
      <c r="A352" t="s">
        <v>883</v>
      </c>
      <c r="B352" t="s">
        <v>732</v>
      </c>
      <c r="C352" t="s">
        <v>733</v>
      </c>
      <c r="D352" t="s">
        <v>876</v>
      </c>
      <c r="E352" t="s">
        <v>877</v>
      </c>
      <c r="F352" t="s">
        <v>134</v>
      </c>
      <c r="G352" t="s">
        <v>201</v>
      </c>
      <c r="H352" t="s">
        <v>212</v>
      </c>
      <c r="I352" t="s">
        <v>201</v>
      </c>
      <c r="L352" s="11" t="s">
        <v>773</v>
      </c>
      <c r="M352" t="s">
        <v>137</v>
      </c>
      <c r="N352" t="b">
        <v>0</v>
      </c>
      <c r="P352" s="12"/>
      <c r="Q352" s="12"/>
      <c r="T352" t="s">
        <v>203</v>
      </c>
      <c r="X352" s="12">
        <v>5800</v>
      </c>
      <c r="Y352" s="12">
        <v>660</v>
      </c>
      <c r="Z352" s="12">
        <v>1500</v>
      </c>
      <c r="AA352" s="12" t="s">
        <v>169</v>
      </c>
      <c r="AB352">
        <f>25*5</f>
        <v>125</v>
      </c>
      <c r="AC352" t="s">
        <v>148</v>
      </c>
      <c r="AE352" s="12" t="s">
        <v>144</v>
      </c>
      <c r="AF352" s="12" t="s">
        <v>171</v>
      </c>
      <c r="AI352" s="12" t="s">
        <v>206</v>
      </c>
      <c r="AJ352" s="12" t="s">
        <v>207</v>
      </c>
      <c r="AK352" s="12" t="s">
        <v>208</v>
      </c>
      <c r="AL352" s="12" t="s">
        <v>174</v>
      </c>
      <c r="AM352" s="12">
        <v>35</v>
      </c>
      <c r="AN352" t="s">
        <v>175</v>
      </c>
      <c r="AO352" s="12">
        <v>2</v>
      </c>
      <c r="AP352" t="s">
        <v>176</v>
      </c>
      <c r="AQ352" s="12" t="b">
        <v>1</v>
      </c>
      <c r="AR352" s="12" t="str">
        <f>HYPERLINK("https://www.google.com/search?q=Siemens","Siemens")</f>
        <v>Siemens</v>
      </c>
      <c r="BR352" s="12" t="s">
        <v>178</v>
      </c>
      <c r="BV352" s="12" t="s">
        <v>210</v>
      </c>
      <c r="CF352" s="12" t="s">
        <v>187</v>
      </c>
      <c r="CS352" s="12" t="s">
        <v>181</v>
      </c>
      <c r="DA352" s="12">
        <v>2</v>
      </c>
      <c r="DN352" s="12" t="b">
        <v>1</v>
      </c>
      <c r="DQ352">
        <f t="shared" si="266"/>
        <v>10</v>
      </c>
      <c r="DR352">
        <f t="shared" si="267"/>
        <v>1</v>
      </c>
      <c r="DS352" cm="1">
        <f t="array" ref="DS352">IF(AF352="&lt;0.2 ips",1,O.5)</f>
        <v>1</v>
      </c>
      <c r="DT352">
        <v>0.2</v>
      </c>
      <c r="DU352">
        <v>0.4</v>
      </c>
      <c r="DV352">
        <v>1</v>
      </c>
      <c r="DW352">
        <v>0.9</v>
      </c>
      <c r="DX352">
        <f t="shared" si="268"/>
        <v>0.8</v>
      </c>
      <c r="DY352">
        <f>+DX352*((14000000/(Z352*AB352^0.5))-4*AB352)</f>
        <v>267.8389692799372</v>
      </c>
      <c r="DZ352">
        <f t="shared" si="270"/>
        <v>3.0575224803645801E-2</v>
      </c>
      <c r="EA352">
        <f t="shared" si="271"/>
        <v>0.4</v>
      </c>
    </row>
    <row r="353" spans="1:131" ht="120" hidden="1" x14ac:dyDescent="0.25">
      <c r="A353" t="s">
        <v>884</v>
      </c>
      <c r="B353" t="s">
        <v>732</v>
      </c>
      <c r="C353" t="s">
        <v>733</v>
      </c>
      <c r="D353" t="s">
        <v>876</v>
      </c>
      <c r="E353" t="s">
        <v>877</v>
      </c>
      <c r="F353" t="s">
        <v>778</v>
      </c>
      <c r="G353" t="s">
        <v>192</v>
      </c>
      <c r="H353" t="s">
        <v>141</v>
      </c>
      <c r="I353" t="s">
        <v>142</v>
      </c>
      <c r="L353" s="11" t="s">
        <v>779</v>
      </c>
      <c r="M353" t="s">
        <v>137</v>
      </c>
      <c r="N353" t="b">
        <v>0</v>
      </c>
      <c r="Y353" s="12"/>
      <c r="AE353" s="12" t="s">
        <v>205</v>
      </c>
      <c r="AI353" s="12" t="s">
        <v>206</v>
      </c>
      <c r="AJ353" s="12" t="s">
        <v>207</v>
      </c>
      <c r="AK353" s="12" t="s">
        <v>208</v>
      </c>
      <c r="AR353" s="12" t="str">
        <f>HYPERLINK("https://www.google.com/search?q=","")</f>
        <v/>
      </c>
      <c r="AS353">
        <v>300</v>
      </c>
      <c r="AT353" t="s">
        <v>148</v>
      </c>
      <c r="AU353">
        <v>1250</v>
      </c>
      <c r="AV353" t="s">
        <v>148</v>
      </c>
      <c r="AW353">
        <v>1300</v>
      </c>
      <c r="AX353" t="s">
        <v>148</v>
      </c>
      <c r="AY353" s="12">
        <v>280</v>
      </c>
      <c r="AZ353" t="s">
        <v>149</v>
      </c>
      <c r="BF353" s="12" t="s">
        <v>780</v>
      </c>
      <c r="BH353" s="12" t="s">
        <v>458</v>
      </c>
      <c r="BI353" s="12" t="s">
        <v>152</v>
      </c>
      <c r="BL353" s="12" t="s">
        <v>412</v>
      </c>
      <c r="BN353" s="12" t="s">
        <v>154</v>
      </c>
      <c r="BP353" s="12" t="s">
        <v>155</v>
      </c>
      <c r="BT353" s="12" t="s">
        <v>781</v>
      </c>
      <c r="BV353" s="12" t="s">
        <v>573</v>
      </c>
      <c r="BY353" s="12" t="s">
        <v>155</v>
      </c>
      <c r="CA353" s="12" t="s">
        <v>218</v>
      </c>
      <c r="CD353" s="12">
        <v>250</v>
      </c>
      <c r="CE353" t="s">
        <v>148</v>
      </c>
      <c r="CH353" s="12" t="s">
        <v>159</v>
      </c>
      <c r="CU353" s="12" t="s">
        <v>412</v>
      </c>
      <c r="DC353" s="12" t="b">
        <v>0</v>
      </c>
      <c r="DD353" s="12" t="s">
        <v>626</v>
      </c>
      <c r="DG353" s="12" t="s">
        <v>459</v>
      </c>
      <c r="DV353">
        <f t="shared" ref="DV353:DV357" si="272">IF(AA355="Horizontal",1,0.5)</f>
        <v>0.5</v>
      </c>
    </row>
    <row r="354" spans="1:131" hidden="1" x14ac:dyDescent="0.25">
      <c r="A354" t="s">
        <v>885</v>
      </c>
      <c r="B354" t="s">
        <v>732</v>
      </c>
      <c r="C354" t="s">
        <v>733</v>
      </c>
      <c r="D354" t="s">
        <v>886</v>
      </c>
      <c r="E354" t="s">
        <v>887</v>
      </c>
      <c r="F354" t="s">
        <v>736</v>
      </c>
      <c r="G354" t="s">
        <v>618</v>
      </c>
      <c r="H354" t="s">
        <v>354</v>
      </c>
      <c r="I354" t="s">
        <v>355</v>
      </c>
      <c r="M354" t="s">
        <v>137</v>
      </c>
      <c r="N354" t="b">
        <v>0</v>
      </c>
      <c r="AR354" s="12" t="str">
        <f>HYPERLINK("https://www.google.com/search?q=","")</f>
        <v/>
      </c>
      <c r="CC354" s="12" t="b">
        <v>1</v>
      </c>
      <c r="CI354" s="12"/>
      <c r="CJ354" s="12" t="s">
        <v>609</v>
      </c>
      <c r="CK354" s="12" t="s">
        <v>610</v>
      </c>
      <c r="CL354" s="12"/>
      <c r="CM354" s="12"/>
      <c r="CN354" t="s">
        <v>356</v>
      </c>
      <c r="CO354" s="12" t="s">
        <v>620</v>
      </c>
      <c r="DD354" s="12" t="s">
        <v>155</v>
      </c>
      <c r="DG354" s="12" t="s">
        <v>737</v>
      </c>
      <c r="DV354">
        <f t="shared" si="272"/>
        <v>0.5</v>
      </c>
    </row>
    <row r="355" spans="1:131" ht="180" hidden="1" x14ac:dyDescent="0.25">
      <c r="A355" t="s">
        <v>888</v>
      </c>
      <c r="B355" t="s">
        <v>732</v>
      </c>
      <c r="C355" t="s">
        <v>733</v>
      </c>
      <c r="D355" t="s">
        <v>886</v>
      </c>
      <c r="E355" t="s">
        <v>887</v>
      </c>
      <c r="F355" t="s">
        <v>736</v>
      </c>
      <c r="G355" t="s">
        <v>618</v>
      </c>
      <c r="H355" t="s">
        <v>166</v>
      </c>
      <c r="I355" t="s">
        <v>739</v>
      </c>
      <c r="L355" s="11" t="s">
        <v>740</v>
      </c>
      <c r="M355" t="s">
        <v>137</v>
      </c>
      <c r="N355" t="b">
        <v>0</v>
      </c>
      <c r="P355" s="12"/>
      <c r="Q355" s="12"/>
      <c r="Z355" s="12"/>
      <c r="AE355" s="12" t="s">
        <v>144</v>
      </c>
      <c r="AI355" s="12" t="s">
        <v>206</v>
      </c>
      <c r="AJ355" s="12" t="s">
        <v>207</v>
      </c>
      <c r="AK355" s="12" t="s">
        <v>208</v>
      </c>
      <c r="AR355" s="12" t="str">
        <f>HYPERLINK("https://www.google.com/search?q=HAZLETON","HAZLETON")</f>
        <v>HAZLETON</v>
      </c>
      <c r="BL355" s="16" t="s">
        <v>339</v>
      </c>
      <c r="BN355" s="12" t="s">
        <v>154</v>
      </c>
      <c r="CA355" s="12" t="s">
        <v>218</v>
      </c>
      <c r="DD355" t="s">
        <v>626</v>
      </c>
      <c r="DV355">
        <f t="shared" si="272"/>
        <v>0.5</v>
      </c>
    </row>
    <row r="356" spans="1:131" ht="240" hidden="1" x14ac:dyDescent="0.25">
      <c r="A356" t="s">
        <v>889</v>
      </c>
      <c r="B356" t="s">
        <v>732</v>
      </c>
      <c r="C356" t="s">
        <v>733</v>
      </c>
      <c r="D356" t="s">
        <v>886</v>
      </c>
      <c r="E356" t="s">
        <v>887</v>
      </c>
      <c r="F356" t="s">
        <v>736</v>
      </c>
      <c r="G356" t="s">
        <v>618</v>
      </c>
      <c r="H356" t="s">
        <v>359</v>
      </c>
      <c r="I356" t="s">
        <v>663</v>
      </c>
      <c r="L356" s="11" t="s">
        <v>769</v>
      </c>
      <c r="M356" t="s">
        <v>137</v>
      </c>
      <c r="N356" t="b">
        <v>0</v>
      </c>
      <c r="AI356" s="12" t="s">
        <v>206</v>
      </c>
      <c r="AJ356" s="12" t="s">
        <v>207</v>
      </c>
      <c r="AK356" s="12" t="s">
        <v>208</v>
      </c>
      <c r="AS356">
        <v>300</v>
      </c>
      <c r="AT356" t="s">
        <v>148</v>
      </c>
      <c r="AU356">
        <v>450</v>
      </c>
      <c r="AV356" t="s">
        <v>148</v>
      </c>
      <c r="AW356">
        <v>700</v>
      </c>
      <c r="AX356" t="s">
        <v>148</v>
      </c>
      <c r="AY356" s="12">
        <v>130</v>
      </c>
      <c r="AZ356" t="s">
        <v>149</v>
      </c>
      <c r="BL356" s="12" t="s">
        <v>153</v>
      </c>
      <c r="BN356" s="12" t="s">
        <v>154</v>
      </c>
      <c r="BP356" s="12" t="s">
        <v>155</v>
      </c>
      <c r="BT356" s="12" t="s">
        <v>604</v>
      </c>
      <c r="BV356" s="12" t="s">
        <v>743</v>
      </c>
      <c r="BY356" s="12" t="s">
        <v>155</v>
      </c>
      <c r="CA356" s="12" t="s">
        <v>218</v>
      </c>
      <c r="CD356" s="12">
        <v>200</v>
      </c>
      <c r="CE356" t="s">
        <v>148</v>
      </c>
      <c r="CH356" s="15" t="s">
        <v>577</v>
      </c>
      <c r="CU356" s="12" t="s">
        <v>578</v>
      </c>
      <c r="DC356" s="12" t="b">
        <v>0</v>
      </c>
      <c r="DD356" s="12" t="s">
        <v>626</v>
      </c>
      <c r="DG356" s="12"/>
      <c r="DL356" t="s">
        <v>629</v>
      </c>
      <c r="DP356" s="12">
        <v>3</v>
      </c>
      <c r="DV356">
        <f t="shared" si="272"/>
        <v>1</v>
      </c>
    </row>
    <row r="357" spans="1:131" ht="330" hidden="1" x14ac:dyDescent="0.25">
      <c r="A357" t="s">
        <v>890</v>
      </c>
      <c r="B357" t="s">
        <v>732</v>
      </c>
      <c r="C357" t="s">
        <v>733</v>
      </c>
      <c r="D357" t="s">
        <v>886</v>
      </c>
      <c r="E357" t="s">
        <v>887</v>
      </c>
      <c r="F357" t="s">
        <v>736</v>
      </c>
      <c r="G357" t="s">
        <v>618</v>
      </c>
      <c r="H357" t="s">
        <v>612</v>
      </c>
      <c r="I357" t="s">
        <v>613</v>
      </c>
      <c r="L357" s="11" t="s">
        <v>745</v>
      </c>
      <c r="M357" t="s">
        <v>137</v>
      </c>
      <c r="N357" t="b">
        <v>0</v>
      </c>
      <c r="CA357" s="12" t="s">
        <v>218</v>
      </c>
      <c r="DV357">
        <f t="shared" si="272"/>
        <v>1</v>
      </c>
    </row>
    <row r="358" spans="1:131" ht="90" hidden="1" x14ac:dyDescent="0.25">
      <c r="A358" t="s">
        <v>891</v>
      </c>
      <c r="B358" t="s">
        <v>732</v>
      </c>
      <c r="C358" t="s">
        <v>733</v>
      </c>
      <c r="D358" t="s">
        <v>886</v>
      </c>
      <c r="E358" t="s">
        <v>887</v>
      </c>
      <c r="F358" t="s">
        <v>134</v>
      </c>
      <c r="G358" t="s">
        <v>201</v>
      </c>
      <c r="H358" t="s">
        <v>772</v>
      </c>
      <c r="I358" t="s">
        <v>201</v>
      </c>
      <c r="L358" s="11" t="s">
        <v>773</v>
      </c>
      <c r="M358" t="s">
        <v>137</v>
      </c>
      <c r="N358" t="b">
        <v>0</v>
      </c>
      <c r="P358" s="12"/>
      <c r="Q358" s="12"/>
      <c r="T358" t="s">
        <v>203</v>
      </c>
      <c r="X358" s="12">
        <v>5800</v>
      </c>
      <c r="Y358" s="12">
        <v>660</v>
      </c>
      <c r="Z358" s="12">
        <v>1500</v>
      </c>
      <c r="AA358" s="12" t="s">
        <v>169</v>
      </c>
      <c r="AB358">
        <f t="shared" ref="AB358:AB360" si="273">25*5</f>
        <v>125</v>
      </c>
      <c r="AC358" t="s">
        <v>148</v>
      </c>
      <c r="AE358" s="12" t="s">
        <v>144</v>
      </c>
      <c r="AF358" s="12" t="s">
        <v>171</v>
      </c>
      <c r="AI358" s="12" t="s">
        <v>206</v>
      </c>
      <c r="AJ358" s="12" t="s">
        <v>207</v>
      </c>
      <c r="AK358" s="12" t="s">
        <v>208</v>
      </c>
      <c r="AL358" s="12" t="s">
        <v>174</v>
      </c>
      <c r="AM358" s="12">
        <v>35</v>
      </c>
      <c r="AN358" t="s">
        <v>175</v>
      </c>
      <c r="AO358" s="12">
        <v>2</v>
      </c>
      <c r="AP358" t="s">
        <v>176</v>
      </c>
      <c r="AQ358" s="12" t="b">
        <v>1</v>
      </c>
      <c r="AR358" s="12" t="str">
        <f>HYPERLINK("https://www.google.com/search?q=Siemens","Siemens")</f>
        <v>Siemens</v>
      </c>
      <c r="BR358" s="12" t="s">
        <v>178</v>
      </c>
      <c r="BV358" s="12" t="s">
        <v>210</v>
      </c>
      <c r="CF358" s="12" t="s">
        <v>187</v>
      </c>
      <c r="CS358" s="12" t="s">
        <v>181</v>
      </c>
      <c r="DA358" s="12">
        <v>2</v>
      </c>
      <c r="DN358" s="12" t="b">
        <v>1</v>
      </c>
      <c r="DQ358">
        <f t="shared" ref="DQ358:DQ360" si="274">IF(T358="Ball",10,0)</f>
        <v>10</v>
      </c>
      <c r="DR358">
        <f t="shared" ref="DR358:DR360" si="275">IF(AE358="125°F (51.7°C) - 150°F (65.6°C)",1,0.5)</f>
        <v>1</v>
      </c>
      <c r="DS358" cm="1">
        <f t="array" ref="DS358">IF(AF358="&lt;0.2 ips",1,O.5)</f>
        <v>1</v>
      </c>
      <c r="DT358">
        <v>0.2</v>
      </c>
      <c r="DU358">
        <v>0.4</v>
      </c>
      <c r="DV358">
        <v>1</v>
      </c>
      <c r="DW358">
        <v>0.9</v>
      </c>
      <c r="DX358">
        <f t="shared" ref="DX358:DX360" si="276">PRODUCT(DQ358:DV358)</f>
        <v>0.8</v>
      </c>
      <c r="DY358">
        <f t="shared" ref="DY358:DY360" si="277">+DX358*((14000000/(Z358*AB358^0.5))-4*AB358)</f>
        <v>267.8389692799372</v>
      </c>
      <c r="DZ358">
        <f t="shared" ref="DZ358:DZ360" si="278">+DY358/8760</f>
        <v>3.0575224803645801E-2</v>
      </c>
      <c r="EA358">
        <f t="shared" ref="EA358:EA360" si="279">ROUND(+DZ358*12,1)</f>
        <v>0.4</v>
      </c>
    </row>
    <row r="359" spans="1:131" ht="90" hidden="1" x14ac:dyDescent="0.25">
      <c r="A359" t="s">
        <v>892</v>
      </c>
      <c r="B359" t="s">
        <v>732</v>
      </c>
      <c r="C359" t="s">
        <v>733</v>
      </c>
      <c r="D359" t="s">
        <v>886</v>
      </c>
      <c r="E359" t="s">
        <v>887</v>
      </c>
      <c r="F359" t="s">
        <v>134</v>
      </c>
      <c r="G359" t="s">
        <v>201</v>
      </c>
      <c r="H359" t="s">
        <v>775</v>
      </c>
      <c r="I359" t="s">
        <v>201</v>
      </c>
      <c r="L359" s="11" t="s">
        <v>773</v>
      </c>
      <c r="M359" t="s">
        <v>137</v>
      </c>
      <c r="N359" t="b">
        <v>0</v>
      </c>
      <c r="P359" s="12"/>
      <c r="Q359" s="12"/>
      <c r="T359" t="s">
        <v>203</v>
      </c>
      <c r="X359" s="12">
        <v>5800</v>
      </c>
      <c r="Y359" s="12">
        <v>660</v>
      </c>
      <c r="Z359" s="12">
        <v>1500</v>
      </c>
      <c r="AA359" s="12" t="s">
        <v>169</v>
      </c>
      <c r="AB359">
        <f t="shared" si="273"/>
        <v>125</v>
      </c>
      <c r="AC359" t="s">
        <v>148</v>
      </c>
      <c r="AE359" s="12" t="s">
        <v>144</v>
      </c>
      <c r="AF359" s="12" t="s">
        <v>171</v>
      </c>
      <c r="AI359" s="12" t="s">
        <v>206</v>
      </c>
      <c r="AJ359" s="12" t="s">
        <v>207</v>
      </c>
      <c r="AK359" s="12" t="s">
        <v>208</v>
      </c>
      <c r="AL359" s="12" t="s">
        <v>174</v>
      </c>
      <c r="AM359" s="12">
        <v>35</v>
      </c>
      <c r="AN359" t="s">
        <v>175</v>
      </c>
      <c r="AO359" s="12">
        <v>2</v>
      </c>
      <c r="AP359" t="s">
        <v>176</v>
      </c>
      <c r="AQ359" s="12" t="b">
        <v>1</v>
      </c>
      <c r="AR359" s="12" t="str">
        <f>HYPERLINK("https://www.google.com/search?q=Siemens","Siemens")</f>
        <v>Siemens</v>
      </c>
      <c r="BR359" s="12" t="s">
        <v>178</v>
      </c>
      <c r="BV359" s="12" t="s">
        <v>210</v>
      </c>
      <c r="CF359" s="12" t="s">
        <v>187</v>
      </c>
      <c r="CS359" s="12" t="s">
        <v>181</v>
      </c>
      <c r="DA359" s="12">
        <v>2</v>
      </c>
      <c r="DN359" s="12" t="b">
        <v>1</v>
      </c>
      <c r="DQ359">
        <f t="shared" si="274"/>
        <v>10</v>
      </c>
      <c r="DR359">
        <f t="shared" si="275"/>
        <v>1</v>
      </c>
      <c r="DS359" cm="1">
        <f t="array" ref="DS359">IF(AF359="&lt;0.2 ips",1,O.5)</f>
        <v>1</v>
      </c>
      <c r="DT359">
        <v>0.2</v>
      </c>
      <c r="DU359">
        <v>0.4</v>
      </c>
      <c r="DV359">
        <v>1</v>
      </c>
      <c r="DW359">
        <v>0.9</v>
      </c>
      <c r="DX359">
        <f t="shared" si="276"/>
        <v>0.8</v>
      </c>
      <c r="DY359">
        <f t="shared" si="277"/>
        <v>267.8389692799372</v>
      </c>
      <c r="DZ359">
        <f t="shared" si="278"/>
        <v>3.0575224803645801E-2</v>
      </c>
      <c r="EA359">
        <f t="shared" si="279"/>
        <v>0.4</v>
      </c>
    </row>
    <row r="360" spans="1:131" ht="90" hidden="1" x14ac:dyDescent="0.25">
      <c r="A360" t="s">
        <v>893</v>
      </c>
      <c r="B360" t="s">
        <v>732</v>
      </c>
      <c r="C360" t="s">
        <v>733</v>
      </c>
      <c r="D360" t="s">
        <v>886</v>
      </c>
      <c r="E360" t="s">
        <v>887</v>
      </c>
      <c r="F360" t="s">
        <v>134</v>
      </c>
      <c r="G360" t="s">
        <v>201</v>
      </c>
      <c r="H360" t="s">
        <v>212</v>
      </c>
      <c r="I360" t="s">
        <v>201</v>
      </c>
      <c r="L360" s="11" t="s">
        <v>773</v>
      </c>
      <c r="M360" t="s">
        <v>137</v>
      </c>
      <c r="N360" t="b">
        <v>0</v>
      </c>
      <c r="P360" s="12"/>
      <c r="Q360" s="12"/>
      <c r="T360" t="s">
        <v>203</v>
      </c>
      <c r="X360" s="12">
        <v>5800</v>
      </c>
      <c r="Y360" s="12">
        <v>660</v>
      </c>
      <c r="Z360" s="12">
        <v>1500</v>
      </c>
      <c r="AA360" s="12" t="s">
        <v>169</v>
      </c>
      <c r="AB360">
        <f t="shared" si="273"/>
        <v>125</v>
      </c>
      <c r="AC360" t="s">
        <v>148</v>
      </c>
      <c r="AE360" s="12" t="s">
        <v>144</v>
      </c>
      <c r="AF360" s="12" t="s">
        <v>171</v>
      </c>
      <c r="AI360" s="12" t="s">
        <v>206</v>
      </c>
      <c r="AJ360" s="12" t="s">
        <v>207</v>
      </c>
      <c r="AK360" s="12" t="s">
        <v>208</v>
      </c>
      <c r="AL360" s="12" t="s">
        <v>174</v>
      </c>
      <c r="AM360" s="12">
        <v>35</v>
      </c>
      <c r="AN360" t="s">
        <v>175</v>
      </c>
      <c r="AO360" s="12">
        <v>2</v>
      </c>
      <c r="AP360" t="s">
        <v>176</v>
      </c>
      <c r="AQ360" s="12" t="b">
        <v>1</v>
      </c>
      <c r="AR360" s="12" t="str">
        <f>HYPERLINK("https://www.google.com/search?q=Siemens","Siemens")</f>
        <v>Siemens</v>
      </c>
      <c r="BR360" s="12" t="s">
        <v>178</v>
      </c>
      <c r="BV360" s="12" t="s">
        <v>210</v>
      </c>
      <c r="CF360" s="12" t="s">
        <v>187</v>
      </c>
      <c r="CS360" s="12" t="s">
        <v>181</v>
      </c>
      <c r="DA360" s="12">
        <v>2</v>
      </c>
      <c r="DN360" s="12" t="b">
        <v>1</v>
      </c>
      <c r="DQ360">
        <f t="shared" si="274"/>
        <v>10</v>
      </c>
      <c r="DR360">
        <f t="shared" si="275"/>
        <v>1</v>
      </c>
      <c r="DS360" cm="1">
        <f t="array" ref="DS360">IF(AF360="&lt;0.2 ips",1,O.5)</f>
        <v>1</v>
      </c>
      <c r="DT360">
        <v>0.2</v>
      </c>
      <c r="DU360">
        <v>0.4</v>
      </c>
      <c r="DV360">
        <v>1</v>
      </c>
      <c r="DW360">
        <v>0.9</v>
      </c>
      <c r="DX360">
        <f t="shared" si="276"/>
        <v>0.8</v>
      </c>
      <c r="DY360">
        <f t="shared" si="277"/>
        <v>267.8389692799372</v>
      </c>
      <c r="DZ360">
        <f t="shared" si="278"/>
        <v>3.0575224803645801E-2</v>
      </c>
      <c r="EA360">
        <f t="shared" si="279"/>
        <v>0.4</v>
      </c>
    </row>
    <row r="361" spans="1:131" ht="120" hidden="1" x14ac:dyDescent="0.25">
      <c r="A361" t="s">
        <v>894</v>
      </c>
      <c r="B361" t="s">
        <v>732</v>
      </c>
      <c r="C361" t="s">
        <v>733</v>
      </c>
      <c r="D361" t="s">
        <v>886</v>
      </c>
      <c r="E361" t="s">
        <v>887</v>
      </c>
      <c r="F361" t="s">
        <v>778</v>
      </c>
      <c r="G361" t="s">
        <v>192</v>
      </c>
      <c r="H361" t="s">
        <v>141</v>
      </c>
      <c r="I361" t="s">
        <v>142</v>
      </c>
      <c r="L361" s="11" t="s">
        <v>779</v>
      </c>
      <c r="M361" t="s">
        <v>137</v>
      </c>
      <c r="N361" t="b">
        <v>0</v>
      </c>
      <c r="Y361" s="12"/>
      <c r="AE361" s="12" t="s">
        <v>205</v>
      </c>
      <c r="AI361" s="12" t="s">
        <v>206</v>
      </c>
      <c r="AJ361" s="12" t="s">
        <v>207</v>
      </c>
      <c r="AK361" s="12" t="s">
        <v>208</v>
      </c>
      <c r="AR361" s="12" t="str">
        <f>HYPERLINK("https://www.google.com/search?q=","")</f>
        <v/>
      </c>
      <c r="AS361">
        <v>300</v>
      </c>
      <c r="AT361" t="s">
        <v>148</v>
      </c>
      <c r="AU361">
        <v>1250</v>
      </c>
      <c r="AV361" t="s">
        <v>148</v>
      </c>
      <c r="AW361">
        <v>1300</v>
      </c>
      <c r="AX361" t="s">
        <v>148</v>
      </c>
      <c r="AY361" s="12">
        <v>280</v>
      </c>
      <c r="AZ361" t="s">
        <v>149</v>
      </c>
      <c r="BF361" s="12" t="s">
        <v>780</v>
      </c>
      <c r="BH361" s="12" t="s">
        <v>458</v>
      </c>
      <c r="BI361" s="12" t="s">
        <v>152</v>
      </c>
      <c r="BL361" s="12" t="s">
        <v>412</v>
      </c>
      <c r="BN361" s="12" t="s">
        <v>154</v>
      </c>
      <c r="BP361" s="12" t="s">
        <v>155</v>
      </c>
      <c r="BT361" s="12" t="s">
        <v>781</v>
      </c>
      <c r="BV361" s="12" t="s">
        <v>573</v>
      </c>
      <c r="BY361" s="12" t="s">
        <v>155</v>
      </c>
      <c r="CA361" s="12" t="s">
        <v>218</v>
      </c>
      <c r="CD361" s="12">
        <v>250</v>
      </c>
      <c r="CE361" t="s">
        <v>148</v>
      </c>
      <c r="CH361" s="12" t="s">
        <v>159</v>
      </c>
      <c r="CU361" s="12" t="s">
        <v>412</v>
      </c>
      <c r="DC361" s="12" t="b">
        <v>0</v>
      </c>
      <c r="DD361" s="12" t="s">
        <v>626</v>
      </c>
      <c r="DG361" s="12" t="s">
        <v>459</v>
      </c>
      <c r="DV361">
        <f t="shared" ref="DV361:DV373" si="280">IF(AA363="Horizontal",1,0.5)</f>
        <v>0.5</v>
      </c>
    </row>
    <row r="362" spans="1:131" hidden="1" x14ac:dyDescent="0.25">
      <c r="A362" t="s">
        <v>895</v>
      </c>
      <c r="B362" t="s">
        <v>896</v>
      </c>
      <c r="C362" t="s">
        <v>897</v>
      </c>
      <c r="D362" t="s">
        <v>703</v>
      </c>
      <c r="E362" t="s">
        <v>898</v>
      </c>
      <c r="F362" t="s">
        <v>134</v>
      </c>
      <c r="G362" t="s">
        <v>135</v>
      </c>
      <c r="H362" t="s">
        <v>136</v>
      </c>
      <c r="I362" t="s">
        <v>135</v>
      </c>
      <c r="M362" t="s">
        <v>137</v>
      </c>
      <c r="N362" t="b">
        <v>0</v>
      </c>
      <c r="DB362" s="12"/>
      <c r="DV362">
        <f t="shared" si="280"/>
        <v>0.5</v>
      </c>
    </row>
    <row r="363" spans="1:131" hidden="1" x14ac:dyDescent="0.25">
      <c r="A363" t="s">
        <v>899</v>
      </c>
      <c r="B363" t="s">
        <v>896</v>
      </c>
      <c r="C363" t="s">
        <v>897</v>
      </c>
      <c r="D363" t="s">
        <v>703</v>
      </c>
      <c r="E363" t="s">
        <v>898</v>
      </c>
      <c r="F363" t="s">
        <v>139</v>
      </c>
      <c r="G363" t="s">
        <v>135</v>
      </c>
      <c r="H363" t="s">
        <v>139</v>
      </c>
      <c r="I363" t="s">
        <v>142</v>
      </c>
      <c r="M363" t="s">
        <v>137</v>
      </c>
      <c r="N363" t="b">
        <v>0</v>
      </c>
      <c r="Y363" s="12"/>
      <c r="AE363" s="12" t="s">
        <v>144</v>
      </c>
      <c r="AI363" s="12" t="s">
        <v>206</v>
      </c>
      <c r="AJ363" s="12" t="s">
        <v>900</v>
      </c>
      <c r="AK363" s="12" t="s">
        <v>901</v>
      </c>
      <c r="AR363" s="12" t="str">
        <f>HYPERLINK("https://www.google.com/search?q=","")</f>
        <v/>
      </c>
      <c r="AS363">
        <v>250</v>
      </c>
      <c r="AT363" t="s">
        <v>148</v>
      </c>
      <c r="AU363">
        <v>250</v>
      </c>
      <c r="AV363" t="s">
        <v>148</v>
      </c>
      <c r="AW363">
        <v>400</v>
      </c>
      <c r="AX363" t="s">
        <v>148</v>
      </c>
      <c r="AY363" s="12">
        <v>10</v>
      </c>
      <c r="AZ363" t="s">
        <v>149</v>
      </c>
      <c r="BF363" s="12" t="s">
        <v>332</v>
      </c>
      <c r="BH363" s="12" t="s">
        <v>151</v>
      </c>
      <c r="BI363" s="12" t="s">
        <v>152</v>
      </c>
      <c r="BL363" s="15" t="s">
        <v>339</v>
      </c>
      <c r="BN363" s="12" t="s">
        <v>902</v>
      </c>
      <c r="BP363" s="12" t="s">
        <v>155</v>
      </c>
      <c r="BT363" s="12" t="s">
        <v>156</v>
      </c>
      <c r="BV363" s="12" t="s">
        <v>157</v>
      </c>
      <c r="BY363" s="12" t="s">
        <v>155</v>
      </c>
      <c r="CA363" s="12" t="s">
        <v>158</v>
      </c>
      <c r="CD363" s="12">
        <v>250</v>
      </c>
      <c r="CE363" t="s">
        <v>148</v>
      </c>
      <c r="CH363" s="15" t="s">
        <v>339</v>
      </c>
      <c r="CU363" s="15" t="s">
        <v>339</v>
      </c>
      <c r="DC363" s="12" t="b">
        <v>0</v>
      </c>
      <c r="DD363" s="12" t="s">
        <v>219</v>
      </c>
      <c r="DG363" s="12" t="s">
        <v>161</v>
      </c>
      <c r="DV363">
        <f t="shared" si="280"/>
        <v>0.5</v>
      </c>
    </row>
    <row r="364" spans="1:131" hidden="1" x14ac:dyDescent="0.25">
      <c r="A364" t="s">
        <v>903</v>
      </c>
      <c r="B364" t="s">
        <v>896</v>
      </c>
      <c r="C364" t="s">
        <v>897</v>
      </c>
      <c r="D364" t="s">
        <v>904</v>
      </c>
      <c r="E364" t="s">
        <v>905</v>
      </c>
      <c r="F364" t="s">
        <v>134</v>
      </c>
      <c r="G364" t="s">
        <v>135</v>
      </c>
      <c r="H364" t="s">
        <v>136</v>
      </c>
      <c r="I364" t="s">
        <v>135</v>
      </c>
      <c r="M364" t="s">
        <v>137</v>
      </c>
      <c r="N364" t="b">
        <v>0</v>
      </c>
      <c r="DB364" s="12"/>
      <c r="DV364">
        <f t="shared" si="280"/>
        <v>0.5</v>
      </c>
    </row>
    <row r="365" spans="1:131" hidden="1" x14ac:dyDescent="0.25">
      <c r="A365" t="s">
        <v>906</v>
      </c>
      <c r="B365" t="s">
        <v>896</v>
      </c>
      <c r="C365" t="s">
        <v>897</v>
      </c>
      <c r="D365" t="s">
        <v>904</v>
      </c>
      <c r="E365" t="s">
        <v>905</v>
      </c>
      <c r="F365" t="s">
        <v>139</v>
      </c>
      <c r="G365" t="s">
        <v>135</v>
      </c>
      <c r="H365" t="s">
        <v>139</v>
      </c>
      <c r="I365" t="s">
        <v>142</v>
      </c>
      <c r="M365" t="s">
        <v>137</v>
      </c>
      <c r="N365" t="b">
        <v>0</v>
      </c>
      <c r="Y365" s="12"/>
      <c r="AE365" s="12" t="s">
        <v>144</v>
      </c>
      <c r="AI365" s="12" t="s">
        <v>206</v>
      </c>
      <c r="AJ365" s="12" t="s">
        <v>900</v>
      </c>
      <c r="AK365" s="12" t="s">
        <v>901</v>
      </c>
      <c r="AR365" s="12" t="str">
        <f>HYPERLINK("https://www.google.com/search?q=","")</f>
        <v/>
      </c>
      <c r="AS365">
        <v>250</v>
      </c>
      <c r="AT365" t="s">
        <v>148</v>
      </c>
      <c r="AU365">
        <v>300</v>
      </c>
      <c r="AV365" t="s">
        <v>148</v>
      </c>
      <c r="AW365">
        <v>480</v>
      </c>
      <c r="AX365" t="s">
        <v>148</v>
      </c>
      <c r="AY365" s="12">
        <v>10</v>
      </c>
      <c r="AZ365" t="s">
        <v>149</v>
      </c>
      <c r="BF365" s="12" t="s">
        <v>332</v>
      </c>
      <c r="BH365" s="12" t="s">
        <v>151</v>
      </c>
      <c r="BI365" s="12" t="s">
        <v>152</v>
      </c>
      <c r="BL365" s="15" t="s">
        <v>907</v>
      </c>
      <c r="BN365" s="12" t="s">
        <v>902</v>
      </c>
      <c r="BP365" s="12" t="s">
        <v>155</v>
      </c>
      <c r="BT365" s="12" t="s">
        <v>196</v>
      </c>
      <c r="BV365" s="12" t="s">
        <v>157</v>
      </c>
      <c r="BY365" s="12" t="s">
        <v>155</v>
      </c>
      <c r="CA365" s="12" t="s">
        <v>158</v>
      </c>
      <c r="CD365" s="12">
        <v>200</v>
      </c>
      <c r="CE365" t="s">
        <v>148</v>
      </c>
      <c r="CH365" s="15" t="s">
        <v>907</v>
      </c>
      <c r="CU365" s="15" t="s">
        <v>907</v>
      </c>
      <c r="DC365" s="12" t="b">
        <v>0</v>
      </c>
      <c r="DD365" s="12" t="s">
        <v>219</v>
      </c>
      <c r="DG365" s="12" t="s">
        <v>161</v>
      </c>
      <c r="DV365">
        <f t="shared" si="280"/>
        <v>0.5</v>
      </c>
    </row>
    <row r="366" spans="1:131" hidden="1" x14ac:dyDescent="0.25">
      <c r="A366" t="s">
        <v>908</v>
      </c>
      <c r="B366" t="s">
        <v>896</v>
      </c>
      <c r="C366" t="s">
        <v>897</v>
      </c>
      <c r="D366" t="s">
        <v>909</v>
      </c>
      <c r="E366" t="s">
        <v>910</v>
      </c>
      <c r="F366" t="s">
        <v>134</v>
      </c>
      <c r="G366" t="s">
        <v>135</v>
      </c>
      <c r="H366" t="s">
        <v>136</v>
      </c>
      <c r="I366" t="s">
        <v>135</v>
      </c>
      <c r="M366" t="s">
        <v>137</v>
      </c>
      <c r="N366" t="b">
        <v>0</v>
      </c>
      <c r="DB366" s="12"/>
      <c r="DV366">
        <f t="shared" si="280"/>
        <v>0.5</v>
      </c>
    </row>
    <row r="367" spans="1:131" hidden="1" x14ac:dyDescent="0.25">
      <c r="A367" t="s">
        <v>911</v>
      </c>
      <c r="B367" t="s">
        <v>896</v>
      </c>
      <c r="C367" t="s">
        <v>897</v>
      </c>
      <c r="D367" t="s">
        <v>909</v>
      </c>
      <c r="E367" t="s">
        <v>910</v>
      </c>
      <c r="F367" t="s">
        <v>139</v>
      </c>
      <c r="G367" t="s">
        <v>135</v>
      </c>
      <c r="H367" t="s">
        <v>139</v>
      </c>
      <c r="I367" t="s">
        <v>142</v>
      </c>
      <c r="L367" t="s">
        <v>912</v>
      </c>
      <c r="M367" t="s">
        <v>137</v>
      </c>
      <c r="N367" t="b">
        <v>0</v>
      </c>
      <c r="Y367" s="12"/>
      <c r="AE367" s="12" t="s">
        <v>144</v>
      </c>
      <c r="AI367" s="12" t="s">
        <v>206</v>
      </c>
      <c r="AJ367" s="12" t="s">
        <v>900</v>
      </c>
      <c r="AK367" s="12" t="s">
        <v>901</v>
      </c>
      <c r="AR367" s="12" t="str">
        <f>HYPERLINK("https://www.google.com/search?q=","")</f>
        <v/>
      </c>
      <c r="AS367">
        <v>250</v>
      </c>
      <c r="AT367" t="s">
        <v>148</v>
      </c>
      <c r="AU367">
        <v>400</v>
      </c>
      <c r="AV367" t="s">
        <v>148</v>
      </c>
      <c r="AW367">
        <v>700</v>
      </c>
      <c r="AX367" t="s">
        <v>148</v>
      </c>
      <c r="AY367" s="12">
        <v>30</v>
      </c>
      <c r="AZ367" t="s">
        <v>149</v>
      </c>
      <c r="BF367" s="12" t="s">
        <v>332</v>
      </c>
      <c r="BH367" s="12" t="s">
        <v>151</v>
      </c>
      <c r="BI367" s="12" t="s">
        <v>152</v>
      </c>
      <c r="BL367" s="12" t="s">
        <v>153</v>
      </c>
      <c r="BN367" s="12" t="s">
        <v>902</v>
      </c>
      <c r="BP367" s="12" t="s">
        <v>155</v>
      </c>
      <c r="BT367" s="12" t="s">
        <v>196</v>
      </c>
      <c r="BV367" s="12" t="s">
        <v>157</v>
      </c>
      <c r="BY367" s="12" t="s">
        <v>155</v>
      </c>
      <c r="CA367" s="12" t="s">
        <v>158</v>
      </c>
      <c r="CD367" s="12">
        <v>200</v>
      </c>
      <c r="CE367" t="s">
        <v>148</v>
      </c>
      <c r="CH367" s="15" t="s">
        <v>339</v>
      </c>
      <c r="CU367" s="15" t="s">
        <v>339</v>
      </c>
      <c r="DC367" s="12" t="b">
        <v>0</v>
      </c>
      <c r="DD367" s="12" t="s">
        <v>219</v>
      </c>
      <c r="DG367" s="12" t="s">
        <v>161</v>
      </c>
      <c r="DV367">
        <f t="shared" si="280"/>
        <v>0.5</v>
      </c>
    </row>
    <row r="368" spans="1:131" hidden="1" x14ac:dyDescent="0.25">
      <c r="A368" t="s">
        <v>913</v>
      </c>
      <c r="B368" t="s">
        <v>896</v>
      </c>
      <c r="C368" t="s">
        <v>897</v>
      </c>
      <c r="D368" t="s">
        <v>914</v>
      </c>
      <c r="E368" t="s">
        <v>915</v>
      </c>
      <c r="F368" t="s">
        <v>134</v>
      </c>
      <c r="G368" t="s">
        <v>135</v>
      </c>
      <c r="H368" t="s">
        <v>136</v>
      </c>
      <c r="I368" t="s">
        <v>135</v>
      </c>
      <c r="M368" t="s">
        <v>137</v>
      </c>
      <c r="N368" t="b">
        <v>0</v>
      </c>
      <c r="DB368" s="12"/>
      <c r="DV368">
        <f t="shared" si="280"/>
        <v>0.5</v>
      </c>
    </row>
    <row r="369" spans="1:131" hidden="1" x14ac:dyDescent="0.25">
      <c r="A369" t="s">
        <v>916</v>
      </c>
      <c r="B369" t="s">
        <v>896</v>
      </c>
      <c r="C369" t="s">
        <v>897</v>
      </c>
      <c r="D369" t="s">
        <v>914</v>
      </c>
      <c r="E369" t="s">
        <v>915</v>
      </c>
      <c r="F369" t="s">
        <v>139</v>
      </c>
      <c r="G369" t="s">
        <v>135</v>
      </c>
      <c r="H369" t="s">
        <v>139</v>
      </c>
      <c r="I369" t="s">
        <v>142</v>
      </c>
      <c r="M369" t="s">
        <v>137</v>
      </c>
      <c r="N369" t="b">
        <v>0</v>
      </c>
      <c r="Y369" s="12"/>
      <c r="AE369" s="12" t="s">
        <v>144</v>
      </c>
      <c r="AI369" s="12" t="s">
        <v>206</v>
      </c>
      <c r="AJ369" s="12" t="s">
        <v>900</v>
      </c>
      <c r="AK369" s="12" t="s">
        <v>901</v>
      </c>
      <c r="AR369" s="12" t="str">
        <f>HYPERLINK("https://www.google.com/search?q=","")</f>
        <v/>
      </c>
      <c r="AS369">
        <v>250</v>
      </c>
      <c r="AT369" t="s">
        <v>148</v>
      </c>
      <c r="AU369">
        <v>300</v>
      </c>
      <c r="AV369" t="s">
        <v>148</v>
      </c>
      <c r="AW369">
        <v>700</v>
      </c>
      <c r="AX369" t="s">
        <v>148</v>
      </c>
      <c r="AY369" s="12">
        <v>10</v>
      </c>
      <c r="AZ369" t="s">
        <v>149</v>
      </c>
      <c r="BF369" s="12" t="s">
        <v>332</v>
      </c>
      <c r="BH369" s="12" t="s">
        <v>151</v>
      </c>
      <c r="BI369" s="12" t="s">
        <v>152</v>
      </c>
      <c r="BL369" s="15" t="s">
        <v>339</v>
      </c>
      <c r="BN369" s="12" t="s">
        <v>902</v>
      </c>
      <c r="BP369" s="12" t="s">
        <v>155</v>
      </c>
      <c r="BT369" s="12" t="s">
        <v>196</v>
      </c>
      <c r="BV369" s="12" t="s">
        <v>157</v>
      </c>
      <c r="BY369" s="12" t="s">
        <v>155</v>
      </c>
      <c r="CA369" s="12" t="s">
        <v>158</v>
      </c>
      <c r="CD369" s="12">
        <v>200</v>
      </c>
      <c r="CE369" t="s">
        <v>148</v>
      </c>
      <c r="CH369" s="15" t="s">
        <v>339</v>
      </c>
      <c r="CU369" s="15" t="s">
        <v>339</v>
      </c>
      <c r="DC369" s="12" t="b">
        <v>0</v>
      </c>
      <c r="DD369" s="12" t="s">
        <v>219</v>
      </c>
      <c r="DG369" s="12" t="s">
        <v>161</v>
      </c>
      <c r="DV369">
        <f t="shared" si="280"/>
        <v>0.5</v>
      </c>
    </row>
    <row r="370" spans="1:131" hidden="1" x14ac:dyDescent="0.25">
      <c r="A370" t="s">
        <v>917</v>
      </c>
      <c r="B370" t="s">
        <v>896</v>
      </c>
      <c r="C370" t="s">
        <v>897</v>
      </c>
      <c r="D370" t="s">
        <v>918</v>
      </c>
      <c r="E370" t="s">
        <v>919</v>
      </c>
      <c r="F370" t="s">
        <v>134</v>
      </c>
      <c r="G370" t="s">
        <v>135</v>
      </c>
      <c r="H370" t="s">
        <v>136</v>
      </c>
      <c r="I370" t="s">
        <v>135</v>
      </c>
      <c r="M370" t="s">
        <v>137</v>
      </c>
      <c r="N370" t="b">
        <v>0</v>
      </c>
      <c r="DB370" s="12"/>
      <c r="DV370">
        <f t="shared" si="280"/>
        <v>0.5</v>
      </c>
    </row>
    <row r="371" spans="1:131" hidden="1" x14ac:dyDescent="0.25">
      <c r="A371" t="s">
        <v>920</v>
      </c>
      <c r="B371" t="s">
        <v>896</v>
      </c>
      <c r="C371" t="s">
        <v>897</v>
      </c>
      <c r="D371" t="s">
        <v>918</v>
      </c>
      <c r="E371" t="s">
        <v>919</v>
      </c>
      <c r="F371" t="s">
        <v>139</v>
      </c>
      <c r="G371" t="s">
        <v>135</v>
      </c>
      <c r="H371" t="s">
        <v>139</v>
      </c>
      <c r="I371" t="s">
        <v>142</v>
      </c>
      <c r="L371" t="s">
        <v>921</v>
      </c>
      <c r="M371" t="s">
        <v>137</v>
      </c>
      <c r="N371" t="b">
        <v>0</v>
      </c>
      <c r="Y371" s="12"/>
      <c r="AE371" s="12" t="s">
        <v>144</v>
      </c>
      <c r="AI371" s="12" t="s">
        <v>206</v>
      </c>
      <c r="AJ371" s="12" t="s">
        <v>900</v>
      </c>
      <c r="AK371" s="12" t="s">
        <v>901</v>
      </c>
      <c r="AR371" s="12" t="str">
        <f>HYPERLINK("https://www.google.com/search?q=","")</f>
        <v/>
      </c>
      <c r="AS371">
        <v>250</v>
      </c>
      <c r="AT371" t="s">
        <v>148</v>
      </c>
      <c r="AU371">
        <v>500</v>
      </c>
      <c r="AV371" t="s">
        <v>148</v>
      </c>
      <c r="AW371">
        <v>500</v>
      </c>
      <c r="AX371" t="s">
        <v>148</v>
      </c>
      <c r="AY371" s="12">
        <v>25</v>
      </c>
      <c r="AZ371" t="s">
        <v>149</v>
      </c>
      <c r="BF371" s="12" t="s">
        <v>332</v>
      </c>
      <c r="BH371" s="12" t="s">
        <v>151</v>
      </c>
      <c r="BI371" s="12" t="s">
        <v>152</v>
      </c>
      <c r="BL371" s="15" t="s">
        <v>577</v>
      </c>
      <c r="BN371" s="12" t="s">
        <v>902</v>
      </c>
      <c r="BP371" s="12" t="s">
        <v>155</v>
      </c>
      <c r="BT371" s="12" t="s">
        <v>156</v>
      </c>
      <c r="BV371" s="12" t="s">
        <v>157</v>
      </c>
      <c r="BY371" s="12" t="s">
        <v>155</v>
      </c>
      <c r="CA371" s="12" t="s">
        <v>158</v>
      </c>
      <c r="CD371" s="12">
        <v>250</v>
      </c>
      <c r="CE371" t="s">
        <v>148</v>
      </c>
      <c r="CH371" s="15" t="s">
        <v>577</v>
      </c>
      <c r="CU371" s="15" t="s">
        <v>577</v>
      </c>
      <c r="DC371" s="12" t="b">
        <v>0</v>
      </c>
      <c r="DD371" s="12" t="s">
        <v>219</v>
      </c>
      <c r="DG371" s="12" t="s">
        <v>161</v>
      </c>
      <c r="DV371">
        <f t="shared" si="280"/>
        <v>0.5</v>
      </c>
    </row>
    <row r="372" spans="1:131" hidden="1" x14ac:dyDescent="0.25">
      <c r="A372" t="s">
        <v>922</v>
      </c>
      <c r="B372" t="s">
        <v>896</v>
      </c>
      <c r="C372" t="s">
        <v>897</v>
      </c>
      <c r="D372" t="s">
        <v>923</v>
      </c>
      <c r="E372" t="s">
        <v>924</v>
      </c>
      <c r="F372" t="s">
        <v>134</v>
      </c>
      <c r="G372" t="s">
        <v>135</v>
      </c>
      <c r="H372" t="s">
        <v>136</v>
      </c>
      <c r="I372" t="s">
        <v>135</v>
      </c>
      <c r="M372" t="s">
        <v>137</v>
      </c>
      <c r="N372" t="b">
        <v>0</v>
      </c>
      <c r="DB372" s="12"/>
      <c r="DV372">
        <f t="shared" si="280"/>
        <v>1</v>
      </c>
    </row>
    <row r="373" spans="1:131" hidden="1" x14ac:dyDescent="0.25">
      <c r="A373" t="s">
        <v>925</v>
      </c>
      <c r="B373" t="s">
        <v>896</v>
      </c>
      <c r="C373" t="s">
        <v>897</v>
      </c>
      <c r="D373" t="s">
        <v>923</v>
      </c>
      <c r="E373" t="s">
        <v>924</v>
      </c>
      <c r="F373" t="s">
        <v>139</v>
      </c>
      <c r="G373" t="s">
        <v>140</v>
      </c>
      <c r="H373" t="s">
        <v>141</v>
      </c>
      <c r="I373" t="s">
        <v>142</v>
      </c>
      <c r="M373" t="s">
        <v>137</v>
      </c>
      <c r="N373" t="b">
        <v>0</v>
      </c>
      <c r="Y373" s="12"/>
      <c r="AE373" s="12" t="s">
        <v>144</v>
      </c>
      <c r="AI373" s="12" t="s">
        <v>206</v>
      </c>
      <c r="AJ373" s="12" t="s">
        <v>207</v>
      </c>
      <c r="AK373" s="12" t="s">
        <v>226</v>
      </c>
      <c r="AR373" s="12" t="str">
        <f>HYPERLINK("https://www.google.com/search?q=","")</f>
        <v/>
      </c>
      <c r="AS373">
        <v>300</v>
      </c>
      <c r="AT373" t="s">
        <v>148</v>
      </c>
      <c r="AU373">
        <v>300</v>
      </c>
      <c r="AV373" t="s">
        <v>148</v>
      </c>
      <c r="AW373">
        <v>300</v>
      </c>
      <c r="AX373" t="s">
        <v>148</v>
      </c>
      <c r="AY373" s="12">
        <v>10</v>
      </c>
      <c r="AZ373" t="s">
        <v>149</v>
      </c>
      <c r="BF373" s="12" t="s">
        <v>780</v>
      </c>
      <c r="BH373" s="12" t="s">
        <v>151</v>
      </c>
      <c r="BI373" s="12" t="s">
        <v>926</v>
      </c>
      <c r="BL373" s="15" t="s">
        <v>339</v>
      </c>
      <c r="BN373" s="12" t="s">
        <v>902</v>
      </c>
      <c r="BP373" s="12" t="s">
        <v>155</v>
      </c>
      <c r="BT373" s="12" t="s">
        <v>196</v>
      </c>
      <c r="BV373" s="12" t="s">
        <v>157</v>
      </c>
      <c r="BY373" s="12" t="s">
        <v>155</v>
      </c>
      <c r="CA373" s="12" t="s">
        <v>158</v>
      </c>
      <c r="CD373" s="12">
        <v>100</v>
      </c>
      <c r="CE373" t="s">
        <v>148</v>
      </c>
      <c r="CH373" s="15" t="s">
        <v>907</v>
      </c>
      <c r="CU373" s="15" t="s">
        <v>907</v>
      </c>
      <c r="DC373" s="12" t="b">
        <v>0</v>
      </c>
      <c r="DD373" s="12" t="s">
        <v>219</v>
      </c>
      <c r="DG373" s="12"/>
      <c r="DV373">
        <f t="shared" si="280"/>
        <v>0.5</v>
      </c>
    </row>
    <row r="374" spans="1:131" hidden="1" x14ac:dyDescent="0.25">
      <c r="A374" t="s">
        <v>927</v>
      </c>
      <c r="B374" t="s">
        <v>896</v>
      </c>
      <c r="C374" t="s">
        <v>897</v>
      </c>
      <c r="D374" t="s">
        <v>923</v>
      </c>
      <c r="E374" t="s">
        <v>924</v>
      </c>
      <c r="F374" t="s">
        <v>928</v>
      </c>
      <c r="G374" t="s">
        <v>165</v>
      </c>
      <c r="H374" t="s">
        <v>166</v>
      </c>
      <c r="I374" t="s">
        <v>165</v>
      </c>
      <c r="M374" t="s">
        <v>137</v>
      </c>
      <c r="N374" t="b">
        <v>0</v>
      </c>
      <c r="P374" s="12" t="s">
        <v>929</v>
      </c>
      <c r="Q374" s="12" t="s">
        <v>929</v>
      </c>
      <c r="R374" s="12">
        <v>120</v>
      </c>
      <c r="S374" t="s">
        <v>148</v>
      </c>
      <c r="T374" s="12" t="s">
        <v>203</v>
      </c>
      <c r="U374" s="12">
        <v>31</v>
      </c>
      <c r="V374" t="s">
        <v>148</v>
      </c>
      <c r="Z374" s="12">
        <v>60</v>
      </c>
      <c r="AA374" s="12" t="s">
        <v>169</v>
      </c>
      <c r="AB374" s="12">
        <v>65</v>
      </c>
      <c r="AC374" t="s">
        <v>148</v>
      </c>
      <c r="AD374" s="12" t="s">
        <v>170</v>
      </c>
      <c r="AE374" s="12" t="s">
        <v>144</v>
      </c>
      <c r="AF374" s="12" t="s">
        <v>171</v>
      </c>
      <c r="AG374" s="13" t="s">
        <v>172</v>
      </c>
      <c r="AH374" s="12" t="s">
        <v>173</v>
      </c>
      <c r="AI374" s="12" t="s">
        <v>206</v>
      </c>
      <c r="AJ374" s="12" t="s">
        <v>207</v>
      </c>
      <c r="AK374" s="12" t="s">
        <v>226</v>
      </c>
      <c r="AL374" s="12" t="s">
        <v>174</v>
      </c>
      <c r="AM374" s="12">
        <v>19</v>
      </c>
      <c r="AN374" t="s">
        <v>175</v>
      </c>
      <c r="AO374" s="12">
        <v>0</v>
      </c>
      <c r="AQ374" s="12" t="b">
        <v>0</v>
      </c>
      <c r="AR374" s="14" t="s">
        <v>177</v>
      </c>
      <c r="BR374" s="12" t="s">
        <v>178</v>
      </c>
      <c r="BV374" s="12" t="s">
        <v>179</v>
      </c>
      <c r="CF374" s="12" t="s">
        <v>268</v>
      </c>
      <c r="CS374" s="12" t="s">
        <v>181</v>
      </c>
      <c r="DA374" s="12">
        <v>1</v>
      </c>
      <c r="DB374" s="12">
        <v>2</v>
      </c>
      <c r="DN374" s="12" t="b">
        <v>0</v>
      </c>
      <c r="DQ374">
        <v>10</v>
      </c>
      <c r="DR374">
        <f>IF(AE374="125°F (51.7°C) - 150°F (65.6°C)",1,0.5)</f>
        <v>1</v>
      </c>
      <c r="DS374" cm="1">
        <f t="array" ref="DS374">IF(AF374="&lt;0.2 ips",1,O.5)</f>
        <v>1</v>
      </c>
      <c r="DT374">
        <v>0.2</v>
      </c>
      <c r="DU374">
        <v>0.7</v>
      </c>
      <c r="DV374">
        <v>1</v>
      </c>
      <c r="DW374">
        <v>0.9</v>
      </c>
      <c r="DX374">
        <f>PRODUCT(DQ374:DV374)</f>
        <v>1.4</v>
      </c>
      <c r="DY374">
        <f>+DX374*((14000000/(Z374*AB374^0.5))-4*AB374)</f>
        <v>40154.013299141428</v>
      </c>
      <c r="DZ374">
        <f>+DY374/8760</f>
        <v>4.5837914725047293</v>
      </c>
      <c r="EA374">
        <f>ROUND(+DZ374*12,1)</f>
        <v>55</v>
      </c>
    </row>
    <row r="375" spans="1:131" hidden="1" x14ac:dyDescent="0.25">
      <c r="A375" t="s">
        <v>930</v>
      </c>
      <c r="B375" t="s">
        <v>896</v>
      </c>
      <c r="C375" t="s">
        <v>897</v>
      </c>
      <c r="D375" t="s">
        <v>931</v>
      </c>
      <c r="E375" t="s">
        <v>932</v>
      </c>
      <c r="F375" t="s">
        <v>134</v>
      </c>
      <c r="G375" t="s">
        <v>135</v>
      </c>
      <c r="H375" t="s">
        <v>136</v>
      </c>
      <c r="I375" t="s">
        <v>135</v>
      </c>
      <c r="M375" t="s">
        <v>137</v>
      </c>
      <c r="N375" t="b">
        <v>0</v>
      </c>
      <c r="DB375" s="12"/>
      <c r="DV375">
        <f t="shared" ref="DV375:DV376" si="281">IF(AA377="Horizontal",1,0.5)</f>
        <v>1</v>
      </c>
    </row>
    <row r="376" spans="1:131" hidden="1" x14ac:dyDescent="0.25">
      <c r="A376" t="s">
        <v>933</v>
      </c>
      <c r="B376" t="s">
        <v>896</v>
      </c>
      <c r="C376" t="s">
        <v>897</v>
      </c>
      <c r="D376" t="s">
        <v>931</v>
      </c>
      <c r="E376" t="s">
        <v>932</v>
      </c>
      <c r="F376" t="s">
        <v>139</v>
      </c>
      <c r="G376" t="s">
        <v>140</v>
      </c>
      <c r="H376" t="s">
        <v>141</v>
      </c>
      <c r="I376" t="s">
        <v>142</v>
      </c>
      <c r="M376" t="s">
        <v>137</v>
      </c>
      <c r="N376" t="b">
        <v>0</v>
      </c>
      <c r="Y376" s="12"/>
      <c r="AE376" s="12" t="s">
        <v>144</v>
      </c>
      <c r="AI376" s="12" t="s">
        <v>206</v>
      </c>
      <c r="AJ376" s="12" t="s">
        <v>207</v>
      </c>
      <c r="AK376" s="12" t="s">
        <v>226</v>
      </c>
      <c r="AR376" s="12" t="str">
        <f>HYPERLINK("https://www.google.com/search?q=","")</f>
        <v/>
      </c>
      <c r="AS376">
        <v>300</v>
      </c>
      <c r="AT376" t="s">
        <v>148</v>
      </c>
      <c r="AU376">
        <v>300</v>
      </c>
      <c r="AV376" t="s">
        <v>148</v>
      </c>
      <c r="AW376">
        <v>300</v>
      </c>
      <c r="AX376" t="s">
        <v>148</v>
      </c>
      <c r="AY376" s="12">
        <v>10</v>
      </c>
      <c r="AZ376" t="s">
        <v>149</v>
      </c>
      <c r="BF376" s="12" t="s">
        <v>780</v>
      </c>
      <c r="BH376" s="12" t="s">
        <v>151</v>
      </c>
      <c r="BI376" s="12" t="s">
        <v>926</v>
      </c>
      <c r="BL376" s="15" t="s">
        <v>339</v>
      </c>
      <c r="BN376" s="12" t="s">
        <v>902</v>
      </c>
      <c r="BP376" s="12" t="s">
        <v>155</v>
      </c>
      <c r="BT376" s="12" t="s">
        <v>196</v>
      </c>
      <c r="BV376" s="12" t="s">
        <v>157</v>
      </c>
      <c r="BY376" s="12" t="s">
        <v>155</v>
      </c>
      <c r="CA376" s="12" t="s">
        <v>158</v>
      </c>
      <c r="CD376" s="12">
        <v>100</v>
      </c>
      <c r="CE376" t="s">
        <v>148</v>
      </c>
      <c r="CH376" s="15" t="s">
        <v>907</v>
      </c>
      <c r="CU376" s="15" t="s">
        <v>907</v>
      </c>
      <c r="DC376" s="12" t="b">
        <v>0</v>
      </c>
      <c r="DD376" s="12" t="s">
        <v>219</v>
      </c>
      <c r="DG376" s="12"/>
      <c r="DV376">
        <f t="shared" si="281"/>
        <v>0.5</v>
      </c>
    </row>
    <row r="377" spans="1:131" hidden="1" x14ac:dyDescent="0.25">
      <c r="A377" t="s">
        <v>934</v>
      </c>
      <c r="B377" t="s">
        <v>896</v>
      </c>
      <c r="C377" t="s">
        <v>897</v>
      </c>
      <c r="D377" t="s">
        <v>931</v>
      </c>
      <c r="E377" t="s">
        <v>932</v>
      </c>
      <c r="F377" t="s">
        <v>928</v>
      </c>
      <c r="G377" t="s">
        <v>165</v>
      </c>
      <c r="H377" t="s">
        <v>166</v>
      </c>
      <c r="I377" t="s">
        <v>165</v>
      </c>
      <c r="M377" t="s">
        <v>137</v>
      </c>
      <c r="N377" t="b">
        <v>0</v>
      </c>
      <c r="P377" s="12" t="s">
        <v>929</v>
      </c>
      <c r="Q377" s="12" t="s">
        <v>929</v>
      </c>
      <c r="R377" s="12">
        <v>120</v>
      </c>
      <c r="S377" t="s">
        <v>148</v>
      </c>
      <c r="T377" s="12" t="s">
        <v>203</v>
      </c>
      <c r="U377" s="12">
        <v>31</v>
      </c>
      <c r="V377" t="s">
        <v>148</v>
      </c>
      <c r="Z377" s="12">
        <v>60</v>
      </c>
      <c r="AA377" s="12" t="s">
        <v>169</v>
      </c>
      <c r="AB377" s="12">
        <v>65</v>
      </c>
      <c r="AC377" t="s">
        <v>148</v>
      </c>
      <c r="AD377" s="12" t="s">
        <v>170</v>
      </c>
      <c r="AE377" s="12" t="s">
        <v>144</v>
      </c>
      <c r="AF377" s="12" t="s">
        <v>171</v>
      </c>
      <c r="AG377" s="13" t="s">
        <v>172</v>
      </c>
      <c r="AH377" s="12" t="s">
        <v>173</v>
      </c>
      <c r="AI377" s="12" t="s">
        <v>206</v>
      </c>
      <c r="AJ377" s="12" t="s">
        <v>207</v>
      </c>
      <c r="AK377" s="12" t="s">
        <v>226</v>
      </c>
      <c r="AL377" s="12" t="s">
        <v>174</v>
      </c>
      <c r="AM377" s="12">
        <v>19</v>
      </c>
      <c r="AN377" t="s">
        <v>175</v>
      </c>
      <c r="AO377" s="12">
        <v>0</v>
      </c>
      <c r="AQ377" s="12" t="b">
        <v>0</v>
      </c>
      <c r="AR377" s="14" t="s">
        <v>177</v>
      </c>
      <c r="BR377" s="12" t="s">
        <v>178</v>
      </c>
      <c r="BV377" s="12" t="s">
        <v>179</v>
      </c>
      <c r="CF377" s="12" t="s">
        <v>268</v>
      </c>
      <c r="CS377" s="12" t="s">
        <v>181</v>
      </c>
      <c r="DA377" s="12">
        <v>1</v>
      </c>
      <c r="DB377" s="12">
        <v>2</v>
      </c>
      <c r="DN377" s="12" t="b">
        <v>0</v>
      </c>
      <c r="DQ377">
        <v>10</v>
      </c>
      <c r="DR377">
        <f>IF(AE377="125°F (51.7°C) - 150°F (65.6°C)",1,0.5)</f>
        <v>1</v>
      </c>
      <c r="DS377" cm="1">
        <f t="array" ref="DS377">IF(AF377="&lt;0.2 ips",1,O.5)</f>
        <v>1</v>
      </c>
      <c r="DT377">
        <v>0.2</v>
      </c>
      <c r="DU377">
        <v>0.7</v>
      </c>
      <c r="DV377">
        <v>1</v>
      </c>
      <c r="DW377">
        <v>0.9</v>
      </c>
      <c r="DX377">
        <f>PRODUCT(DQ377:DV377)</f>
        <v>1.4</v>
      </c>
      <c r="DY377">
        <f>+DX377*((14000000/(Z377*AB377^0.5))-4*AB377)</f>
        <v>40154.013299141428</v>
      </c>
      <c r="DZ377">
        <f>+DY377/8760</f>
        <v>4.5837914725047293</v>
      </c>
      <c r="EA377">
        <f>ROUND(+DZ377*12,1)</f>
        <v>55</v>
      </c>
    </row>
    <row r="378" spans="1:131" hidden="1" x14ac:dyDescent="0.25">
      <c r="A378" t="s">
        <v>935</v>
      </c>
      <c r="B378" t="s">
        <v>896</v>
      </c>
      <c r="C378" t="s">
        <v>897</v>
      </c>
      <c r="D378" t="s">
        <v>936</v>
      </c>
      <c r="E378" t="s">
        <v>937</v>
      </c>
      <c r="F378" t="s">
        <v>374</v>
      </c>
      <c r="G378" t="s">
        <v>373</v>
      </c>
      <c r="H378" t="s">
        <v>374</v>
      </c>
      <c r="I378" t="s">
        <v>373</v>
      </c>
      <c r="M378" t="s">
        <v>137</v>
      </c>
      <c r="N378" t="b">
        <v>0</v>
      </c>
      <c r="AE378" s="12" t="s">
        <v>205</v>
      </c>
      <c r="AI378" s="12" t="s">
        <v>206</v>
      </c>
      <c r="AJ378" s="12" t="s">
        <v>207</v>
      </c>
      <c r="AK378" s="12" t="s">
        <v>226</v>
      </c>
      <c r="AO378" s="12">
        <v>1</v>
      </c>
      <c r="AP378" t="s">
        <v>321</v>
      </c>
      <c r="BV378" s="12" t="s">
        <v>179</v>
      </c>
      <c r="CW378" s="12" t="s">
        <v>322</v>
      </c>
      <c r="DB378" s="12">
        <v>1</v>
      </c>
      <c r="DV378">
        <f t="shared" ref="DV378:DV380" si="282">IF(AA380="Horizontal",1,0.5)</f>
        <v>0.5</v>
      </c>
    </row>
    <row r="379" spans="1:131" hidden="1" x14ac:dyDescent="0.25">
      <c r="A379" t="s">
        <v>938</v>
      </c>
      <c r="B379" t="s">
        <v>896</v>
      </c>
      <c r="C379" t="s">
        <v>897</v>
      </c>
      <c r="D379" t="s">
        <v>936</v>
      </c>
      <c r="E379" t="s">
        <v>937</v>
      </c>
      <c r="F379" t="s">
        <v>134</v>
      </c>
      <c r="G379" t="s">
        <v>135</v>
      </c>
      <c r="H379" t="s">
        <v>136</v>
      </c>
      <c r="I379" t="s">
        <v>135</v>
      </c>
      <c r="M379" t="s">
        <v>137</v>
      </c>
      <c r="N379" t="b">
        <v>0</v>
      </c>
      <c r="DB379" s="12">
        <v>1</v>
      </c>
      <c r="DV379">
        <f t="shared" si="282"/>
        <v>1</v>
      </c>
    </row>
    <row r="380" spans="1:131" hidden="1" x14ac:dyDescent="0.25">
      <c r="A380" t="s">
        <v>939</v>
      </c>
      <c r="B380" t="s">
        <v>896</v>
      </c>
      <c r="C380" t="s">
        <v>897</v>
      </c>
      <c r="D380" t="s">
        <v>936</v>
      </c>
      <c r="E380" t="s">
        <v>937</v>
      </c>
      <c r="F380" t="s">
        <v>139</v>
      </c>
      <c r="G380" t="s">
        <v>140</v>
      </c>
      <c r="H380" t="s">
        <v>141</v>
      </c>
      <c r="I380" t="s">
        <v>142</v>
      </c>
      <c r="M380" t="s">
        <v>137</v>
      </c>
      <c r="N380" t="b">
        <v>0</v>
      </c>
      <c r="Y380" s="12"/>
      <c r="AE380" s="12" t="s">
        <v>144</v>
      </c>
      <c r="AI380" s="12" t="s">
        <v>206</v>
      </c>
      <c r="AJ380" s="12" t="s">
        <v>207</v>
      </c>
      <c r="AK380" s="12" t="s">
        <v>226</v>
      </c>
      <c r="AR380" s="12" t="str">
        <f>HYPERLINK("https://www.google.com/search?q=","")</f>
        <v/>
      </c>
      <c r="AS380">
        <v>150</v>
      </c>
      <c r="AT380" t="s">
        <v>148</v>
      </c>
      <c r="AU380">
        <v>150</v>
      </c>
      <c r="AV380" t="s">
        <v>148</v>
      </c>
      <c r="AW380">
        <v>160</v>
      </c>
      <c r="AX380" t="s">
        <v>148</v>
      </c>
      <c r="AY380" s="12">
        <v>1.5</v>
      </c>
      <c r="AZ380" t="s">
        <v>149</v>
      </c>
      <c r="BF380" s="12" t="s">
        <v>780</v>
      </c>
      <c r="BH380" s="12" t="s">
        <v>151</v>
      </c>
      <c r="BI380" s="12" t="s">
        <v>926</v>
      </c>
      <c r="BL380" s="15" t="s">
        <v>339</v>
      </c>
      <c r="BN380" s="12" t="s">
        <v>902</v>
      </c>
      <c r="BP380" s="12" t="s">
        <v>155</v>
      </c>
      <c r="BT380" s="12" t="s">
        <v>196</v>
      </c>
      <c r="BV380" s="12" t="s">
        <v>157</v>
      </c>
      <c r="BY380" s="12" t="s">
        <v>155</v>
      </c>
      <c r="CA380" s="12" t="s">
        <v>158</v>
      </c>
      <c r="CD380" s="12">
        <v>100</v>
      </c>
      <c r="CE380" t="s">
        <v>148</v>
      </c>
      <c r="CH380" s="15" t="s">
        <v>907</v>
      </c>
      <c r="CU380" s="15" t="s">
        <v>907</v>
      </c>
      <c r="DC380" s="12" t="b">
        <v>0</v>
      </c>
      <c r="DD380" s="12" t="s">
        <v>219</v>
      </c>
      <c r="DG380" s="12"/>
      <c r="DV380">
        <f t="shared" si="282"/>
        <v>0.5</v>
      </c>
    </row>
    <row r="381" spans="1:131" hidden="1" x14ac:dyDescent="0.25">
      <c r="A381" t="s">
        <v>940</v>
      </c>
      <c r="B381" t="s">
        <v>896</v>
      </c>
      <c r="C381" t="s">
        <v>897</v>
      </c>
      <c r="D381" t="s">
        <v>936</v>
      </c>
      <c r="E381" t="s">
        <v>937</v>
      </c>
      <c r="F381" t="s">
        <v>928</v>
      </c>
      <c r="G381" t="s">
        <v>165</v>
      </c>
      <c r="H381" t="s">
        <v>166</v>
      </c>
      <c r="I381" t="s">
        <v>165</v>
      </c>
      <c r="M381" t="s">
        <v>137</v>
      </c>
      <c r="N381" t="b">
        <v>0</v>
      </c>
      <c r="P381" s="12" t="s">
        <v>941</v>
      </c>
      <c r="Q381" s="12" t="s">
        <v>941</v>
      </c>
      <c r="R381" s="12">
        <v>72</v>
      </c>
      <c r="S381" t="s">
        <v>148</v>
      </c>
      <c r="T381" s="12" t="s">
        <v>203</v>
      </c>
      <c r="U381" s="12">
        <v>23</v>
      </c>
      <c r="V381" t="s">
        <v>148</v>
      </c>
      <c r="Z381" s="12">
        <v>60</v>
      </c>
      <c r="AA381" s="12" t="s">
        <v>169</v>
      </c>
      <c r="AB381" s="12">
        <v>35</v>
      </c>
      <c r="AC381" t="s">
        <v>148</v>
      </c>
      <c r="AD381" s="12" t="s">
        <v>170</v>
      </c>
      <c r="AE381" s="12" t="s">
        <v>144</v>
      </c>
      <c r="AF381" s="12" t="s">
        <v>171</v>
      </c>
      <c r="AG381" s="13" t="s">
        <v>172</v>
      </c>
      <c r="AH381" s="12" t="s">
        <v>173</v>
      </c>
      <c r="AI381" s="12" t="s">
        <v>206</v>
      </c>
      <c r="AJ381" s="12" t="s">
        <v>207</v>
      </c>
      <c r="AK381" s="12" t="s">
        <v>226</v>
      </c>
      <c r="AL381" s="12" t="s">
        <v>174</v>
      </c>
      <c r="AM381" s="12">
        <v>8</v>
      </c>
      <c r="AN381" t="s">
        <v>175</v>
      </c>
      <c r="AO381" s="12">
        <v>0</v>
      </c>
      <c r="AQ381" s="12" t="b">
        <v>0</v>
      </c>
      <c r="BR381" s="12" t="s">
        <v>178</v>
      </c>
      <c r="BV381" s="12" t="s">
        <v>179</v>
      </c>
      <c r="CF381" s="12" t="s">
        <v>187</v>
      </c>
      <c r="CS381" s="12" t="s">
        <v>181</v>
      </c>
      <c r="DA381" s="12">
        <v>1</v>
      </c>
      <c r="DB381" s="12">
        <v>2</v>
      </c>
      <c r="DN381" s="12" t="b">
        <v>0</v>
      </c>
      <c r="DQ381">
        <v>10</v>
      </c>
      <c r="DR381">
        <f>IF(AE381="125°F (51.7°C) - 150°F (65.6°C)",1,0.5)</f>
        <v>1</v>
      </c>
      <c r="DS381" cm="1">
        <f t="array" ref="DS381">IF(AF381="&lt;0.2 ips",1,O.5)</f>
        <v>1</v>
      </c>
      <c r="DT381">
        <v>0.2</v>
      </c>
      <c r="DU381">
        <v>0.7</v>
      </c>
      <c r="DV381">
        <v>1</v>
      </c>
      <c r="DW381">
        <v>0.9</v>
      </c>
      <c r="DX381">
        <f>PRODUCT(DQ381:DV381)</f>
        <v>1.4</v>
      </c>
      <c r="DY381">
        <f>+DX381*((14000000/(Z381*AB381^0.5))-4*AB381)</f>
        <v>55020.744642263082</v>
      </c>
      <c r="DZ381">
        <f>+DY381/8760</f>
        <v>6.2809069226327718</v>
      </c>
      <c r="EA381">
        <f>ROUND(+DZ381*12,1)</f>
        <v>75.400000000000006</v>
      </c>
    </row>
    <row r="382" spans="1:131" hidden="1" x14ac:dyDescent="0.25">
      <c r="A382" t="s">
        <v>942</v>
      </c>
      <c r="B382" t="s">
        <v>896</v>
      </c>
      <c r="C382" t="s">
        <v>897</v>
      </c>
      <c r="D382" t="s">
        <v>943</v>
      </c>
      <c r="E382" t="s">
        <v>944</v>
      </c>
      <c r="F382" t="s">
        <v>134</v>
      </c>
      <c r="G382" t="s">
        <v>135</v>
      </c>
      <c r="H382" t="s">
        <v>136</v>
      </c>
      <c r="I382" t="s">
        <v>135</v>
      </c>
      <c r="M382" t="s">
        <v>137</v>
      </c>
      <c r="N382" t="b">
        <v>0</v>
      </c>
      <c r="DB382" s="12"/>
      <c r="DV382">
        <f t="shared" ref="DV382:DV383" si="283">IF(AA384="Horizontal",1,0.5)</f>
        <v>1</v>
      </c>
    </row>
    <row r="383" spans="1:131" hidden="1" x14ac:dyDescent="0.25">
      <c r="A383" t="s">
        <v>945</v>
      </c>
      <c r="B383" t="s">
        <v>896</v>
      </c>
      <c r="C383" t="s">
        <v>897</v>
      </c>
      <c r="D383" t="s">
        <v>943</v>
      </c>
      <c r="E383" t="s">
        <v>944</v>
      </c>
      <c r="F383" t="s">
        <v>139</v>
      </c>
      <c r="G383" t="s">
        <v>140</v>
      </c>
      <c r="H383" t="s">
        <v>141</v>
      </c>
      <c r="I383" t="s">
        <v>142</v>
      </c>
      <c r="M383" t="s">
        <v>137</v>
      </c>
      <c r="N383" t="b">
        <v>0</v>
      </c>
      <c r="Y383" s="12"/>
      <c r="AE383" s="12" t="s">
        <v>144</v>
      </c>
      <c r="AI383" s="12" t="s">
        <v>206</v>
      </c>
      <c r="AJ383" s="12" t="s">
        <v>207</v>
      </c>
      <c r="AK383" s="12" t="s">
        <v>226</v>
      </c>
      <c r="AR383" s="12" t="str">
        <f>HYPERLINK("https://www.google.com/search?q=","")</f>
        <v/>
      </c>
      <c r="AS383">
        <v>250</v>
      </c>
      <c r="AT383" t="s">
        <v>148</v>
      </c>
      <c r="AU383">
        <v>250</v>
      </c>
      <c r="AV383" t="s">
        <v>148</v>
      </c>
      <c r="AW383">
        <v>250</v>
      </c>
      <c r="AX383" t="s">
        <v>148</v>
      </c>
      <c r="AY383" s="12">
        <v>6</v>
      </c>
      <c r="AZ383" t="s">
        <v>149</v>
      </c>
      <c r="BF383" s="12" t="s">
        <v>780</v>
      </c>
      <c r="BH383" s="12" t="s">
        <v>151</v>
      </c>
      <c r="BI383" s="12" t="s">
        <v>926</v>
      </c>
      <c r="BL383" s="15" t="s">
        <v>907</v>
      </c>
      <c r="BN383" s="12" t="s">
        <v>902</v>
      </c>
      <c r="BP383" s="12" t="s">
        <v>155</v>
      </c>
      <c r="BT383" s="12" t="s">
        <v>196</v>
      </c>
      <c r="BV383" s="12" t="s">
        <v>157</v>
      </c>
      <c r="BY383" s="12" t="s">
        <v>155</v>
      </c>
      <c r="CA383" s="12" t="s">
        <v>158</v>
      </c>
      <c r="CD383" s="12">
        <v>100</v>
      </c>
      <c r="CE383" t="s">
        <v>148</v>
      </c>
      <c r="CH383" s="15" t="s">
        <v>907</v>
      </c>
      <c r="CU383" s="15" t="s">
        <v>907</v>
      </c>
      <c r="DC383" s="12" t="b">
        <v>0</v>
      </c>
      <c r="DD383" s="12" t="s">
        <v>219</v>
      </c>
      <c r="DG383" s="12"/>
      <c r="DV383">
        <f t="shared" si="283"/>
        <v>1</v>
      </c>
    </row>
    <row r="384" spans="1:131" hidden="1" x14ac:dyDescent="0.25">
      <c r="A384" t="s">
        <v>946</v>
      </c>
      <c r="B384" t="s">
        <v>896</v>
      </c>
      <c r="C384" t="s">
        <v>897</v>
      </c>
      <c r="D384" t="s">
        <v>943</v>
      </c>
      <c r="E384" t="s">
        <v>944</v>
      </c>
      <c r="F384" t="s">
        <v>928</v>
      </c>
      <c r="G384" t="s">
        <v>165</v>
      </c>
      <c r="H384" t="s">
        <v>166</v>
      </c>
      <c r="I384" t="s">
        <v>165</v>
      </c>
      <c r="M384" t="s">
        <v>137</v>
      </c>
      <c r="N384" t="b">
        <v>0</v>
      </c>
      <c r="P384" s="12" t="s">
        <v>929</v>
      </c>
      <c r="Q384" s="12" t="s">
        <v>929</v>
      </c>
      <c r="R384" s="12">
        <v>120</v>
      </c>
      <c r="S384" t="s">
        <v>148</v>
      </c>
      <c r="T384" s="12" t="s">
        <v>203</v>
      </c>
      <c r="U384" s="12">
        <v>31</v>
      </c>
      <c r="V384" t="s">
        <v>148</v>
      </c>
      <c r="Z384" s="12">
        <v>60</v>
      </c>
      <c r="AA384" s="12" t="s">
        <v>169</v>
      </c>
      <c r="AB384" s="12">
        <v>65</v>
      </c>
      <c r="AC384" t="s">
        <v>148</v>
      </c>
      <c r="AD384" s="12" t="s">
        <v>170</v>
      </c>
      <c r="AE384" s="12" t="s">
        <v>144</v>
      </c>
      <c r="AF384" s="12" t="s">
        <v>171</v>
      </c>
      <c r="AG384" s="13" t="s">
        <v>172</v>
      </c>
      <c r="AH384" s="12" t="s">
        <v>173</v>
      </c>
      <c r="AI384" s="12" t="s">
        <v>206</v>
      </c>
      <c r="AJ384" s="12" t="s">
        <v>207</v>
      </c>
      <c r="AK384" s="12" t="s">
        <v>226</v>
      </c>
      <c r="AL384" s="12" t="s">
        <v>174</v>
      </c>
      <c r="AM384" s="12">
        <v>19</v>
      </c>
      <c r="AN384" t="s">
        <v>175</v>
      </c>
      <c r="AO384" s="12">
        <v>0</v>
      </c>
      <c r="AQ384" s="12" t="b">
        <v>0</v>
      </c>
      <c r="BR384" s="12" t="s">
        <v>178</v>
      </c>
      <c r="BV384" s="12" t="s">
        <v>179</v>
      </c>
      <c r="CF384" s="12" t="s">
        <v>268</v>
      </c>
      <c r="CS384" s="12" t="s">
        <v>181</v>
      </c>
      <c r="DA384" s="12">
        <v>1</v>
      </c>
      <c r="DB384" s="12">
        <v>2</v>
      </c>
      <c r="DN384" s="12" t="b">
        <v>0</v>
      </c>
      <c r="DQ384">
        <v>10</v>
      </c>
      <c r="DR384">
        <f>IF(AE384="125°F (51.7°C) - 150°F (65.6°C)",1,0.5)</f>
        <v>1</v>
      </c>
      <c r="DS384" cm="1">
        <f t="array" ref="DS384">IF(AF384="&lt;0.2 ips",1,O.5)</f>
        <v>1</v>
      </c>
      <c r="DT384">
        <v>0.2</v>
      </c>
      <c r="DU384">
        <v>0.7</v>
      </c>
      <c r="DV384">
        <v>1</v>
      </c>
      <c r="DW384">
        <v>0.9</v>
      </c>
      <c r="DX384">
        <f>PRODUCT(DQ384:DV384)</f>
        <v>1.4</v>
      </c>
      <c r="DY384">
        <f>+DX384*((14000000/(Z384*AB384^0.5))-4*AB384)</f>
        <v>40154.013299141428</v>
      </c>
      <c r="DZ384">
        <f>+DY384/8760</f>
        <v>4.5837914725047293</v>
      </c>
      <c r="EA384">
        <f>ROUND(+DZ384*12,1)</f>
        <v>55</v>
      </c>
    </row>
    <row r="385" spans="1:131" hidden="1" x14ac:dyDescent="0.25">
      <c r="A385" t="s">
        <v>947</v>
      </c>
      <c r="B385" t="s">
        <v>896</v>
      </c>
      <c r="C385" t="s">
        <v>897</v>
      </c>
      <c r="D385" t="s">
        <v>948</v>
      </c>
      <c r="E385" t="s">
        <v>949</v>
      </c>
      <c r="F385" t="s">
        <v>950</v>
      </c>
      <c r="G385" t="s">
        <v>377</v>
      </c>
      <c r="H385" t="s">
        <v>385</v>
      </c>
      <c r="I385" t="s">
        <v>377</v>
      </c>
      <c r="M385" t="s">
        <v>137</v>
      </c>
      <c r="N385" t="b">
        <v>0</v>
      </c>
      <c r="P385" s="12"/>
      <c r="Q385" s="12"/>
      <c r="R385" s="12">
        <v>160</v>
      </c>
      <c r="S385" t="s">
        <v>148</v>
      </c>
      <c r="T385" t="s">
        <v>380</v>
      </c>
      <c r="U385" s="12">
        <v>300</v>
      </c>
      <c r="V385" t="s">
        <v>148</v>
      </c>
      <c r="Z385" s="12">
        <v>10</v>
      </c>
      <c r="AA385" s="12" t="s">
        <v>169</v>
      </c>
      <c r="AB385" s="12">
        <v>120</v>
      </c>
      <c r="AC385" t="s">
        <v>148</v>
      </c>
      <c r="AD385" s="12" t="s">
        <v>313</v>
      </c>
      <c r="AE385" s="12" t="s">
        <v>205</v>
      </c>
      <c r="AF385" t="s">
        <v>171</v>
      </c>
      <c r="AG385" s="17" t="s">
        <v>172</v>
      </c>
      <c r="AH385" t="s">
        <v>173</v>
      </c>
      <c r="AI385" s="12" t="s">
        <v>206</v>
      </c>
      <c r="AJ385" s="12" t="s">
        <v>207</v>
      </c>
      <c r="AK385" s="12" t="s">
        <v>208</v>
      </c>
      <c r="AL385" t="s">
        <v>174</v>
      </c>
      <c r="AM385" s="12">
        <v>240</v>
      </c>
      <c r="AN385" t="s">
        <v>175</v>
      </c>
      <c r="AO385" s="12">
        <v>2</v>
      </c>
      <c r="AQ385" t="b">
        <v>0</v>
      </c>
      <c r="BR385" s="12" t="s">
        <v>386</v>
      </c>
      <c r="BV385" s="12" t="s">
        <v>179</v>
      </c>
      <c r="CS385" s="12" t="s">
        <v>387</v>
      </c>
      <c r="DA385" s="12">
        <v>1</v>
      </c>
      <c r="DB385" s="12">
        <v>1</v>
      </c>
      <c r="DN385" s="12" t="b">
        <v>0</v>
      </c>
      <c r="DQ385">
        <f t="shared" ref="DQ385:DQ387" si="284">IF(T385="Ball",10,0)</f>
        <v>0</v>
      </c>
      <c r="DR385" t="str">
        <f t="shared" ref="DR385:DR387" si="285">+T385</f>
        <v>Journal Bearing</v>
      </c>
      <c r="DV385">
        <f t="shared" ref="DV385:DV389" si="286">IF(AA387="Horizontal",1,0.5)</f>
        <v>1</v>
      </c>
    </row>
    <row r="386" spans="1:131" hidden="1" x14ac:dyDescent="0.25">
      <c r="A386" t="s">
        <v>951</v>
      </c>
      <c r="B386" t="s">
        <v>896</v>
      </c>
      <c r="C386" t="s">
        <v>897</v>
      </c>
      <c r="D386" t="s">
        <v>948</v>
      </c>
      <c r="E386" t="s">
        <v>949</v>
      </c>
      <c r="F386" t="s">
        <v>952</v>
      </c>
      <c r="G386" t="s">
        <v>377</v>
      </c>
      <c r="H386" t="s">
        <v>385</v>
      </c>
      <c r="I386" t="s">
        <v>377</v>
      </c>
      <c r="M386" t="s">
        <v>137</v>
      </c>
      <c r="N386" t="b">
        <v>0</v>
      </c>
      <c r="P386" s="12"/>
      <c r="Q386" s="12"/>
      <c r="R386" s="12">
        <v>320</v>
      </c>
      <c r="S386" t="s">
        <v>148</v>
      </c>
      <c r="T386" t="s">
        <v>380</v>
      </c>
      <c r="U386" s="12">
        <v>150</v>
      </c>
      <c r="V386" t="s">
        <v>148</v>
      </c>
      <c r="Z386" s="12">
        <v>10</v>
      </c>
      <c r="AA386" s="12" t="s">
        <v>169</v>
      </c>
      <c r="AB386" s="12">
        <v>300</v>
      </c>
      <c r="AC386" t="s">
        <v>148</v>
      </c>
      <c r="AD386" s="12" t="s">
        <v>313</v>
      </c>
      <c r="AE386" s="12" t="s">
        <v>205</v>
      </c>
      <c r="AF386" t="s">
        <v>171</v>
      </c>
      <c r="AG386" s="17" t="s">
        <v>172</v>
      </c>
      <c r="AH386" t="s">
        <v>173</v>
      </c>
      <c r="AI386" s="12" t="s">
        <v>206</v>
      </c>
      <c r="AJ386" s="12" t="s">
        <v>207</v>
      </c>
      <c r="AK386" s="12" t="s">
        <v>208</v>
      </c>
      <c r="AL386" t="s">
        <v>174</v>
      </c>
      <c r="AM386" s="12">
        <v>240</v>
      </c>
      <c r="AN386" t="s">
        <v>175</v>
      </c>
      <c r="AO386" s="12">
        <v>1</v>
      </c>
      <c r="AQ386" t="b">
        <v>0</v>
      </c>
      <c r="BR386" s="12" t="s">
        <v>386</v>
      </c>
      <c r="BV386" s="12" t="s">
        <v>179</v>
      </c>
      <c r="CS386" s="12" t="s">
        <v>387</v>
      </c>
      <c r="DA386" s="12">
        <v>1</v>
      </c>
      <c r="DB386" s="12">
        <v>1</v>
      </c>
      <c r="DN386" s="12" t="b">
        <v>0</v>
      </c>
      <c r="DQ386">
        <f t="shared" si="284"/>
        <v>0</v>
      </c>
      <c r="DR386" t="str">
        <f t="shared" si="285"/>
        <v>Journal Bearing</v>
      </c>
      <c r="DV386">
        <f t="shared" si="286"/>
        <v>0.5</v>
      </c>
    </row>
    <row r="387" spans="1:131" hidden="1" x14ac:dyDescent="0.25">
      <c r="A387" t="s">
        <v>953</v>
      </c>
      <c r="B387" t="s">
        <v>896</v>
      </c>
      <c r="C387" t="s">
        <v>897</v>
      </c>
      <c r="D387" t="s">
        <v>948</v>
      </c>
      <c r="E387" t="s">
        <v>949</v>
      </c>
      <c r="F387" t="s">
        <v>954</v>
      </c>
      <c r="G387" t="s">
        <v>377</v>
      </c>
      <c r="H387" t="s">
        <v>385</v>
      </c>
      <c r="I387" t="s">
        <v>377</v>
      </c>
      <c r="M387" t="s">
        <v>137</v>
      </c>
      <c r="N387" t="b">
        <v>0</v>
      </c>
      <c r="P387" s="12"/>
      <c r="Q387" s="12"/>
      <c r="R387" s="12">
        <v>320</v>
      </c>
      <c r="S387" t="s">
        <v>148</v>
      </c>
      <c r="T387" t="s">
        <v>380</v>
      </c>
      <c r="U387" s="12">
        <v>150</v>
      </c>
      <c r="V387" t="s">
        <v>148</v>
      </c>
      <c r="Z387" s="12">
        <v>120</v>
      </c>
      <c r="AA387" s="12" t="s">
        <v>169</v>
      </c>
      <c r="AB387" s="12">
        <v>300</v>
      </c>
      <c r="AC387" t="s">
        <v>148</v>
      </c>
      <c r="AD387" s="12" t="s">
        <v>313</v>
      </c>
      <c r="AE387" s="12" t="s">
        <v>205</v>
      </c>
      <c r="AF387" t="s">
        <v>171</v>
      </c>
      <c r="AG387" s="17" t="s">
        <v>172</v>
      </c>
      <c r="AH387" t="s">
        <v>173</v>
      </c>
      <c r="AI387" s="12" t="s">
        <v>206</v>
      </c>
      <c r="AJ387" s="12" t="s">
        <v>207</v>
      </c>
      <c r="AK387" s="12" t="s">
        <v>208</v>
      </c>
      <c r="AL387" t="s">
        <v>174</v>
      </c>
      <c r="AM387" s="12">
        <v>240</v>
      </c>
      <c r="AN387" t="s">
        <v>175</v>
      </c>
      <c r="AO387" s="12">
        <v>1</v>
      </c>
      <c r="AQ387" t="b">
        <v>0</v>
      </c>
      <c r="BR387" s="12" t="s">
        <v>386</v>
      </c>
      <c r="BV387" s="12" t="s">
        <v>179</v>
      </c>
      <c r="CS387" s="12" t="s">
        <v>387</v>
      </c>
      <c r="DA387" s="12">
        <v>1</v>
      </c>
      <c r="DB387" s="12">
        <v>1</v>
      </c>
      <c r="DN387" s="12" t="b">
        <v>0</v>
      </c>
      <c r="DQ387">
        <f t="shared" si="284"/>
        <v>0</v>
      </c>
      <c r="DR387" t="str">
        <f t="shared" si="285"/>
        <v>Journal Bearing</v>
      </c>
      <c r="DV387">
        <f t="shared" si="286"/>
        <v>0.5</v>
      </c>
    </row>
    <row r="388" spans="1:131" hidden="1" x14ac:dyDescent="0.25">
      <c r="A388" t="s">
        <v>955</v>
      </c>
      <c r="B388" t="s">
        <v>896</v>
      </c>
      <c r="C388" t="s">
        <v>897</v>
      </c>
      <c r="D388" t="s">
        <v>948</v>
      </c>
      <c r="E388" t="s">
        <v>949</v>
      </c>
      <c r="F388" t="s">
        <v>134</v>
      </c>
      <c r="G388" t="s">
        <v>135</v>
      </c>
      <c r="H388" t="s">
        <v>136</v>
      </c>
      <c r="I388" t="s">
        <v>135</v>
      </c>
      <c r="M388" t="s">
        <v>137</v>
      </c>
      <c r="N388" t="b">
        <v>0</v>
      </c>
      <c r="DB388" s="12"/>
      <c r="DV388">
        <f t="shared" si="286"/>
        <v>1</v>
      </c>
    </row>
    <row r="389" spans="1:131" hidden="1" x14ac:dyDescent="0.25">
      <c r="A389" t="s">
        <v>956</v>
      </c>
      <c r="B389" t="s">
        <v>896</v>
      </c>
      <c r="C389" t="s">
        <v>897</v>
      </c>
      <c r="D389" t="s">
        <v>948</v>
      </c>
      <c r="E389" t="s">
        <v>949</v>
      </c>
      <c r="F389" t="s">
        <v>957</v>
      </c>
      <c r="G389" t="s">
        <v>140</v>
      </c>
      <c r="H389" t="s">
        <v>141</v>
      </c>
      <c r="I389" t="s">
        <v>142</v>
      </c>
      <c r="M389" t="s">
        <v>137</v>
      </c>
      <c r="N389" t="b">
        <v>0</v>
      </c>
      <c r="Y389" s="12"/>
      <c r="AE389" s="12" t="s">
        <v>144</v>
      </c>
      <c r="AI389" s="12" t="s">
        <v>145</v>
      </c>
      <c r="AJ389" s="12" t="s">
        <v>146</v>
      </c>
      <c r="AK389" s="12" t="s">
        <v>147</v>
      </c>
      <c r="AR389" s="12" t="str">
        <f>HYPERLINK("https://www.google.com/search?q=","")</f>
        <v/>
      </c>
      <c r="AS389">
        <v>450</v>
      </c>
      <c r="AT389" t="s">
        <v>148</v>
      </c>
      <c r="AU389">
        <v>300</v>
      </c>
      <c r="AV389" t="s">
        <v>148</v>
      </c>
      <c r="AW389">
        <v>800</v>
      </c>
      <c r="AX389" t="s">
        <v>148</v>
      </c>
      <c r="AY389" s="12">
        <v>43</v>
      </c>
      <c r="AZ389" t="s">
        <v>149</v>
      </c>
      <c r="BF389" s="12" t="s">
        <v>150</v>
      </c>
      <c r="BH389" s="12" t="s">
        <v>151</v>
      </c>
      <c r="BI389" s="12" t="s">
        <v>152</v>
      </c>
      <c r="BL389" s="12" t="s">
        <v>578</v>
      </c>
      <c r="BN389" s="12" t="s">
        <v>154</v>
      </c>
      <c r="BP389" s="12" t="s">
        <v>155</v>
      </c>
      <c r="BT389" s="12" t="s">
        <v>156</v>
      </c>
      <c r="BV389" s="12" t="s">
        <v>157</v>
      </c>
      <c r="BY389" s="12" t="s">
        <v>155</v>
      </c>
      <c r="CA389" s="12" t="s">
        <v>218</v>
      </c>
      <c r="CD389" s="12">
        <v>320</v>
      </c>
      <c r="CE389" t="s">
        <v>148</v>
      </c>
      <c r="CH389" s="12" t="s">
        <v>159</v>
      </c>
      <c r="CU389" s="12" t="s">
        <v>159</v>
      </c>
      <c r="DC389" s="12" t="b">
        <v>1</v>
      </c>
      <c r="DD389" s="12" t="s">
        <v>160</v>
      </c>
      <c r="DG389" s="12" t="s">
        <v>161</v>
      </c>
      <c r="DV389">
        <f t="shared" si="286"/>
        <v>1</v>
      </c>
    </row>
    <row r="390" spans="1:131" hidden="1" x14ac:dyDescent="0.25">
      <c r="A390" t="s">
        <v>958</v>
      </c>
      <c r="B390" t="s">
        <v>896</v>
      </c>
      <c r="C390" t="s">
        <v>897</v>
      </c>
      <c r="D390" t="s">
        <v>948</v>
      </c>
      <c r="E390" t="s">
        <v>949</v>
      </c>
      <c r="F390" t="s">
        <v>959</v>
      </c>
      <c r="G390" t="s">
        <v>165</v>
      </c>
      <c r="H390" t="s">
        <v>202</v>
      </c>
      <c r="I390" t="s">
        <v>165</v>
      </c>
      <c r="L390" t="s">
        <v>224</v>
      </c>
      <c r="M390" t="s">
        <v>137</v>
      </c>
      <c r="N390" t="b">
        <v>0</v>
      </c>
      <c r="P390" s="12"/>
      <c r="Q390" s="12"/>
      <c r="R390" s="12">
        <v>450</v>
      </c>
      <c r="S390" t="s">
        <v>148</v>
      </c>
      <c r="T390" s="12" t="s">
        <v>168</v>
      </c>
      <c r="U390" s="12">
        <v>200</v>
      </c>
      <c r="V390" t="s">
        <v>148</v>
      </c>
      <c r="Z390" s="12">
        <v>120</v>
      </c>
      <c r="AA390" s="12" t="s">
        <v>169</v>
      </c>
      <c r="AB390" s="12">
        <v>150</v>
      </c>
      <c r="AC390" t="s">
        <v>148</v>
      </c>
      <c r="AD390" s="12"/>
      <c r="AE390" s="12" t="s">
        <v>144</v>
      </c>
      <c r="AF390" s="12" t="s">
        <v>171</v>
      </c>
      <c r="AG390" s="13" t="s">
        <v>172</v>
      </c>
      <c r="AH390" s="12" t="s">
        <v>173</v>
      </c>
      <c r="AI390" s="12" t="s">
        <v>145</v>
      </c>
      <c r="AJ390" s="12" t="s">
        <v>146</v>
      </c>
      <c r="AK390" s="12" t="s">
        <v>226</v>
      </c>
      <c r="AL390" s="12" t="s">
        <v>174</v>
      </c>
      <c r="AM390" s="12">
        <v>450</v>
      </c>
      <c r="AN390" t="s">
        <v>175</v>
      </c>
      <c r="AO390" s="12">
        <v>-2403</v>
      </c>
      <c r="AQ390" s="12" t="b">
        <v>0</v>
      </c>
      <c r="BR390" s="12" t="s">
        <v>386</v>
      </c>
      <c r="BV390" s="12" t="s">
        <v>179</v>
      </c>
      <c r="CF390" s="12" t="s">
        <v>180</v>
      </c>
      <c r="CS390" s="12" t="s">
        <v>387</v>
      </c>
      <c r="DA390" s="12">
        <v>1</v>
      </c>
      <c r="DB390" s="12">
        <v>2</v>
      </c>
      <c r="DN390" s="12" t="b">
        <v>0</v>
      </c>
      <c r="DQ390">
        <f t="shared" ref="DQ390:DQ391" si="287">IF(T390="Tapered/Spherical",1,0)</f>
        <v>1</v>
      </c>
      <c r="DR390">
        <f t="shared" ref="DR390:DR391" si="288">IF(AE390="125°F (51.7°C) - 150°F (65.6°C)",1,0.5)</f>
        <v>1</v>
      </c>
      <c r="DS390" cm="1">
        <f t="array" ref="DS390">IF(AF390="&lt;0.2 ips",1,O.5)</f>
        <v>1</v>
      </c>
      <c r="DT390">
        <v>0.2</v>
      </c>
      <c r="DU390">
        <v>0.7</v>
      </c>
      <c r="DV390">
        <v>1</v>
      </c>
      <c r="DW390">
        <v>0.9</v>
      </c>
      <c r="DX390">
        <f t="shared" ref="DX390:DX391" si="289">PRODUCT(DQ390:DV390)</f>
        <v>0.13999999999999999</v>
      </c>
      <c r="DY390">
        <f t="shared" ref="DY390:DY391" si="290">+DX390*((14000000/(Z390*AB390^0.5))-4*AB390)</f>
        <v>1249.6110821819525</v>
      </c>
      <c r="DZ390">
        <f t="shared" ref="DZ390:DZ391" si="291">+DY390/8760</f>
        <v>0.14264966691574801</v>
      </c>
      <c r="EA390">
        <f t="shared" ref="EA390:EA391" si="292">ROUND(+DZ390*12,1)</f>
        <v>1.7</v>
      </c>
    </row>
    <row r="391" spans="1:131" hidden="1" x14ac:dyDescent="0.25">
      <c r="A391" t="s">
        <v>960</v>
      </c>
      <c r="B391" t="s">
        <v>896</v>
      </c>
      <c r="C391" t="s">
        <v>897</v>
      </c>
      <c r="D391" t="s">
        <v>948</v>
      </c>
      <c r="E391" t="s">
        <v>949</v>
      </c>
      <c r="F391" t="s">
        <v>959</v>
      </c>
      <c r="G391" t="s">
        <v>165</v>
      </c>
      <c r="H391" t="s">
        <v>212</v>
      </c>
      <c r="I391" t="s">
        <v>165</v>
      </c>
      <c r="L391" t="s">
        <v>224</v>
      </c>
      <c r="M391" t="s">
        <v>137</v>
      </c>
      <c r="N391" t="b">
        <v>0</v>
      </c>
      <c r="P391" s="12"/>
      <c r="Q391" s="12"/>
      <c r="R391" s="12">
        <v>450</v>
      </c>
      <c r="S391" t="s">
        <v>148</v>
      </c>
      <c r="T391" s="12" t="s">
        <v>168</v>
      </c>
      <c r="U391" s="12">
        <v>200</v>
      </c>
      <c r="V391" t="s">
        <v>148</v>
      </c>
      <c r="Z391" s="12">
        <v>120</v>
      </c>
      <c r="AA391" s="12" t="s">
        <v>169</v>
      </c>
      <c r="AB391" s="12">
        <v>150</v>
      </c>
      <c r="AC391" t="s">
        <v>148</v>
      </c>
      <c r="AD391" s="12"/>
      <c r="AE391" s="12" t="s">
        <v>144</v>
      </c>
      <c r="AF391" s="12" t="s">
        <v>171</v>
      </c>
      <c r="AG391" s="13" t="s">
        <v>172</v>
      </c>
      <c r="AH391" s="12" t="s">
        <v>173</v>
      </c>
      <c r="AI391" s="12" t="s">
        <v>145</v>
      </c>
      <c r="AJ391" s="12" t="s">
        <v>146</v>
      </c>
      <c r="AK391" s="12" t="s">
        <v>226</v>
      </c>
      <c r="AL391" s="12" t="s">
        <v>174</v>
      </c>
      <c r="AM391" s="12">
        <v>450</v>
      </c>
      <c r="AN391" t="s">
        <v>175</v>
      </c>
      <c r="AO391" s="12">
        <v>-2403</v>
      </c>
      <c r="AQ391" s="12" t="b">
        <v>0</v>
      </c>
      <c r="BR391" s="12" t="s">
        <v>386</v>
      </c>
      <c r="BV391" s="12" t="s">
        <v>179</v>
      </c>
      <c r="CF391" s="12" t="s">
        <v>180</v>
      </c>
      <c r="CS391" s="12" t="s">
        <v>387</v>
      </c>
      <c r="DA391" s="12">
        <v>1</v>
      </c>
      <c r="DB391" s="12">
        <v>2</v>
      </c>
      <c r="DN391" s="12" t="b">
        <v>0</v>
      </c>
      <c r="DQ391">
        <f t="shared" si="287"/>
        <v>1</v>
      </c>
      <c r="DR391">
        <f t="shared" si="288"/>
        <v>1</v>
      </c>
      <c r="DS391" cm="1">
        <f t="array" ref="DS391">IF(AF391="&lt;0.2 ips",1,O.5)</f>
        <v>1</v>
      </c>
      <c r="DT391">
        <v>0.2</v>
      </c>
      <c r="DU391">
        <v>0.7</v>
      </c>
      <c r="DV391">
        <v>1</v>
      </c>
      <c r="DW391">
        <v>0.9</v>
      </c>
      <c r="DX391">
        <f t="shared" si="289"/>
        <v>0.13999999999999999</v>
      </c>
      <c r="DY391">
        <f t="shared" si="290"/>
        <v>1249.6110821819525</v>
      </c>
      <c r="DZ391">
        <f t="shared" si="291"/>
        <v>0.14264966691574801</v>
      </c>
      <c r="EA391">
        <f t="shared" si="292"/>
        <v>1.7</v>
      </c>
    </row>
    <row r="392" spans="1:131" hidden="1" x14ac:dyDescent="0.25">
      <c r="A392" t="s">
        <v>961</v>
      </c>
      <c r="B392" t="s">
        <v>896</v>
      </c>
      <c r="C392" t="s">
        <v>897</v>
      </c>
      <c r="D392" t="s">
        <v>962</v>
      </c>
      <c r="E392" t="s">
        <v>963</v>
      </c>
      <c r="F392" t="s">
        <v>134</v>
      </c>
      <c r="G392" t="s">
        <v>135</v>
      </c>
      <c r="H392" t="s">
        <v>136</v>
      </c>
      <c r="I392" t="s">
        <v>135</v>
      </c>
      <c r="M392" t="s">
        <v>137</v>
      </c>
      <c r="N392" t="b">
        <v>0</v>
      </c>
      <c r="DB392" s="12"/>
      <c r="DV392">
        <f t="shared" ref="DV392:DV393" si="293">IF(AA394="Horizontal",1,0.5)</f>
        <v>1</v>
      </c>
    </row>
    <row r="393" spans="1:131" hidden="1" x14ac:dyDescent="0.25">
      <c r="A393" t="s">
        <v>964</v>
      </c>
      <c r="B393" t="s">
        <v>896</v>
      </c>
      <c r="C393" t="s">
        <v>897</v>
      </c>
      <c r="D393" t="s">
        <v>962</v>
      </c>
      <c r="E393" t="s">
        <v>963</v>
      </c>
      <c r="F393" t="s">
        <v>139</v>
      </c>
      <c r="G393" t="s">
        <v>140</v>
      </c>
      <c r="H393" t="s">
        <v>141</v>
      </c>
      <c r="I393" t="s">
        <v>142</v>
      </c>
      <c r="M393" t="s">
        <v>137</v>
      </c>
      <c r="N393" t="b">
        <v>0</v>
      </c>
      <c r="Y393" s="12"/>
      <c r="AE393" s="12" t="s">
        <v>144</v>
      </c>
      <c r="AI393" s="12" t="s">
        <v>206</v>
      </c>
      <c r="AJ393" s="12" t="s">
        <v>207</v>
      </c>
      <c r="AK393" s="12" t="s">
        <v>226</v>
      </c>
      <c r="AR393" s="12" t="str">
        <f>HYPERLINK("https://www.google.com/search?q=SEW","SEW")</f>
        <v>SEW</v>
      </c>
      <c r="AS393">
        <v>600</v>
      </c>
      <c r="AT393" t="s">
        <v>148</v>
      </c>
      <c r="AU393">
        <v>300</v>
      </c>
      <c r="AV393" t="s">
        <v>148</v>
      </c>
      <c r="AW393">
        <v>450</v>
      </c>
      <c r="AX393" t="s">
        <v>148</v>
      </c>
      <c r="AY393" s="12">
        <v>32</v>
      </c>
      <c r="AZ393" t="s">
        <v>149</v>
      </c>
      <c r="BF393" s="12" t="s">
        <v>150</v>
      </c>
      <c r="BH393" s="12" t="s">
        <v>151</v>
      </c>
      <c r="BI393" s="12" t="s">
        <v>926</v>
      </c>
      <c r="BL393" s="15" t="s">
        <v>577</v>
      </c>
      <c r="BN393" s="12" t="s">
        <v>902</v>
      </c>
      <c r="BP393" s="12" t="s">
        <v>155</v>
      </c>
      <c r="BT393" s="12" t="s">
        <v>196</v>
      </c>
      <c r="BV393" s="12" t="s">
        <v>157</v>
      </c>
      <c r="BY393" s="12" t="s">
        <v>155</v>
      </c>
      <c r="CA393" s="12" t="s">
        <v>158</v>
      </c>
      <c r="CD393" s="12">
        <v>250</v>
      </c>
      <c r="CE393" t="s">
        <v>148</v>
      </c>
      <c r="CH393" s="15" t="s">
        <v>577</v>
      </c>
      <c r="CU393" s="15" t="s">
        <v>577</v>
      </c>
      <c r="DC393" s="12" t="b">
        <v>0</v>
      </c>
      <c r="DD393" s="12" t="s">
        <v>219</v>
      </c>
      <c r="DG393" s="12"/>
      <c r="DV393">
        <f t="shared" si="293"/>
        <v>1</v>
      </c>
    </row>
    <row r="394" spans="1:131" hidden="1" x14ac:dyDescent="0.25">
      <c r="A394" t="s">
        <v>965</v>
      </c>
      <c r="B394" t="s">
        <v>896</v>
      </c>
      <c r="C394" t="s">
        <v>897</v>
      </c>
      <c r="D394" t="s">
        <v>962</v>
      </c>
      <c r="E394" t="s">
        <v>963</v>
      </c>
      <c r="F394" t="s">
        <v>966</v>
      </c>
      <c r="G394" t="s">
        <v>165</v>
      </c>
      <c r="H394" t="s">
        <v>166</v>
      </c>
      <c r="I394" t="s">
        <v>165</v>
      </c>
      <c r="M394" t="s">
        <v>137</v>
      </c>
      <c r="N394" t="b">
        <v>0</v>
      </c>
      <c r="P394" s="12" t="s">
        <v>967</v>
      </c>
      <c r="Q394" s="12" t="s">
        <v>967</v>
      </c>
      <c r="R394" s="12">
        <v>100</v>
      </c>
      <c r="S394" t="s">
        <v>148</v>
      </c>
      <c r="T394" s="12" t="s">
        <v>203</v>
      </c>
      <c r="U394" s="12">
        <v>25</v>
      </c>
      <c r="V394" t="s">
        <v>148</v>
      </c>
      <c r="Z394" s="12">
        <v>60</v>
      </c>
      <c r="AA394" s="12" t="s">
        <v>169</v>
      </c>
      <c r="AB394" s="12">
        <v>55</v>
      </c>
      <c r="AC394" t="s">
        <v>148</v>
      </c>
      <c r="AD394" s="12" t="s">
        <v>170</v>
      </c>
      <c r="AE394" s="12" t="s">
        <v>144</v>
      </c>
      <c r="AF394" s="12" t="s">
        <v>171</v>
      </c>
      <c r="AG394" s="13" t="s">
        <v>172</v>
      </c>
      <c r="AH394" s="12" t="s">
        <v>173</v>
      </c>
      <c r="AI394" s="12" t="s">
        <v>206</v>
      </c>
      <c r="AJ394" s="12" t="s">
        <v>207</v>
      </c>
      <c r="AK394" s="12" t="s">
        <v>226</v>
      </c>
      <c r="AL394" s="12" t="s">
        <v>174</v>
      </c>
      <c r="AM394" s="12">
        <v>12.5</v>
      </c>
      <c r="AN394" t="s">
        <v>175</v>
      </c>
      <c r="AO394" s="12">
        <v>0</v>
      </c>
      <c r="AQ394" s="12" t="b">
        <v>0</v>
      </c>
      <c r="BR394" s="12" t="s">
        <v>178</v>
      </c>
      <c r="BV394" s="12" t="s">
        <v>179</v>
      </c>
      <c r="CF394" s="12" t="s">
        <v>268</v>
      </c>
      <c r="CS394" s="12" t="s">
        <v>181</v>
      </c>
      <c r="DA394" s="12">
        <v>1</v>
      </c>
      <c r="DB394" s="12">
        <v>2</v>
      </c>
      <c r="DN394" s="12" t="b">
        <v>0</v>
      </c>
      <c r="DQ394">
        <v>10</v>
      </c>
      <c r="DR394">
        <f t="shared" ref="DR394:DR396" si="294">IF(AE394="125°F (51.7°C) - 150°F (65.6°C)",1,0.5)</f>
        <v>1</v>
      </c>
      <c r="DS394" cm="1">
        <f t="array" ref="DS394">IF(AF394="&lt;0.2 ips",1,O.5)</f>
        <v>1</v>
      </c>
      <c r="DT394">
        <v>0.2</v>
      </c>
      <c r="DU394">
        <v>0.7</v>
      </c>
      <c r="DV394">
        <v>1</v>
      </c>
      <c r="DW394">
        <v>0.9</v>
      </c>
      <c r="DX394">
        <f t="shared" ref="DX394:DX396" si="295">PRODUCT(DQ394:DV394)</f>
        <v>1.4</v>
      </c>
      <c r="DY394">
        <f t="shared" ref="DY394:DY396" si="296">+DX394*((14000000/(Z394*AB394^0.5))-4*AB394)</f>
        <v>43739.72434759848</v>
      </c>
      <c r="DZ394">
        <f t="shared" ref="DZ394:DZ396" si="297">+DY394/8760</f>
        <v>4.9931192177623833</v>
      </c>
      <c r="EA394">
        <f t="shared" ref="EA394:EA396" si="298">ROUND(+DZ394*12,1)</f>
        <v>59.9</v>
      </c>
    </row>
    <row r="395" spans="1:131" hidden="1" x14ac:dyDescent="0.25">
      <c r="A395" t="s">
        <v>968</v>
      </c>
      <c r="B395" t="s">
        <v>896</v>
      </c>
      <c r="C395" t="s">
        <v>897</v>
      </c>
      <c r="D395" t="s">
        <v>962</v>
      </c>
      <c r="E395" t="s">
        <v>963</v>
      </c>
      <c r="F395" t="s">
        <v>969</v>
      </c>
      <c r="G395" t="s">
        <v>165</v>
      </c>
      <c r="H395" t="s">
        <v>166</v>
      </c>
      <c r="I395" t="s">
        <v>165</v>
      </c>
      <c r="M395" t="s">
        <v>137</v>
      </c>
      <c r="N395" t="b">
        <v>0</v>
      </c>
      <c r="P395" s="12" t="s">
        <v>967</v>
      </c>
      <c r="Q395" s="12" t="s">
        <v>967</v>
      </c>
      <c r="R395" s="12">
        <v>100</v>
      </c>
      <c r="S395" t="s">
        <v>148</v>
      </c>
      <c r="T395" s="12" t="s">
        <v>203</v>
      </c>
      <c r="U395" s="12">
        <v>25</v>
      </c>
      <c r="V395" t="s">
        <v>148</v>
      </c>
      <c r="Z395" s="12">
        <v>60</v>
      </c>
      <c r="AA395" s="12" t="s">
        <v>169</v>
      </c>
      <c r="AB395" s="12">
        <v>55</v>
      </c>
      <c r="AC395" t="s">
        <v>148</v>
      </c>
      <c r="AD395" s="12" t="s">
        <v>170</v>
      </c>
      <c r="AE395" s="12" t="s">
        <v>144</v>
      </c>
      <c r="AF395" s="12" t="s">
        <v>171</v>
      </c>
      <c r="AG395" s="13" t="s">
        <v>172</v>
      </c>
      <c r="AH395" s="12" t="s">
        <v>173</v>
      </c>
      <c r="AI395" s="12" t="s">
        <v>206</v>
      </c>
      <c r="AJ395" s="12" t="s">
        <v>207</v>
      </c>
      <c r="AK395" s="12" t="s">
        <v>226</v>
      </c>
      <c r="AL395" s="12" t="s">
        <v>174</v>
      </c>
      <c r="AM395" s="12">
        <v>12.5</v>
      </c>
      <c r="AN395" t="s">
        <v>175</v>
      </c>
      <c r="AO395" s="12">
        <v>0</v>
      </c>
      <c r="AP395" t="s">
        <v>186</v>
      </c>
      <c r="AQ395" s="12" t="b">
        <v>0</v>
      </c>
      <c r="BR395" s="12" t="s">
        <v>178</v>
      </c>
      <c r="BV395" s="12" t="s">
        <v>179</v>
      </c>
      <c r="CF395" s="12" t="s">
        <v>268</v>
      </c>
      <c r="CS395" s="12" t="s">
        <v>181</v>
      </c>
      <c r="DA395" s="12">
        <v>1</v>
      </c>
      <c r="DB395" s="12">
        <v>2</v>
      </c>
      <c r="DN395" s="12" t="b">
        <v>0</v>
      </c>
      <c r="DQ395">
        <v>10</v>
      </c>
      <c r="DR395">
        <f t="shared" si="294"/>
        <v>1</v>
      </c>
      <c r="DS395" cm="1">
        <f t="array" ref="DS395">IF(AF395="&lt;0.2 ips",1,O.5)</f>
        <v>1</v>
      </c>
      <c r="DT395">
        <v>0.2</v>
      </c>
      <c r="DU395">
        <v>0.7</v>
      </c>
      <c r="DV395">
        <v>1</v>
      </c>
      <c r="DW395">
        <v>0.9</v>
      </c>
      <c r="DX395">
        <f t="shared" si="295"/>
        <v>1.4</v>
      </c>
      <c r="DY395">
        <f t="shared" si="296"/>
        <v>43739.72434759848</v>
      </c>
      <c r="DZ395">
        <f t="shared" si="297"/>
        <v>4.9931192177623833</v>
      </c>
      <c r="EA395">
        <f t="shared" si="298"/>
        <v>59.9</v>
      </c>
    </row>
    <row r="396" spans="1:131" hidden="1" x14ac:dyDescent="0.25">
      <c r="A396" t="s">
        <v>970</v>
      </c>
      <c r="B396" t="s">
        <v>896</v>
      </c>
      <c r="C396" t="s">
        <v>897</v>
      </c>
      <c r="D396" t="s">
        <v>962</v>
      </c>
      <c r="E396" t="s">
        <v>963</v>
      </c>
      <c r="F396" t="s">
        <v>971</v>
      </c>
      <c r="G396" t="s">
        <v>165</v>
      </c>
      <c r="H396" t="s">
        <v>166</v>
      </c>
      <c r="I396" t="s">
        <v>165</v>
      </c>
      <c r="M396" t="s">
        <v>137</v>
      </c>
      <c r="N396" t="b">
        <v>0</v>
      </c>
      <c r="P396" s="12" t="s">
        <v>967</v>
      </c>
      <c r="Q396" s="12" t="s">
        <v>967</v>
      </c>
      <c r="R396" s="12">
        <v>100</v>
      </c>
      <c r="S396" t="s">
        <v>148</v>
      </c>
      <c r="T396" s="12" t="s">
        <v>203</v>
      </c>
      <c r="U396" s="12">
        <v>25</v>
      </c>
      <c r="V396" t="s">
        <v>148</v>
      </c>
      <c r="Z396" s="12">
        <v>60</v>
      </c>
      <c r="AA396" s="12" t="s">
        <v>169</v>
      </c>
      <c r="AB396" s="12">
        <v>55</v>
      </c>
      <c r="AC396" t="s">
        <v>148</v>
      </c>
      <c r="AD396" s="12" t="s">
        <v>170</v>
      </c>
      <c r="AE396" s="12" t="s">
        <v>144</v>
      </c>
      <c r="AF396" s="12" t="s">
        <v>171</v>
      </c>
      <c r="AG396" s="13" t="s">
        <v>172</v>
      </c>
      <c r="AH396" s="12" t="s">
        <v>173</v>
      </c>
      <c r="AI396" s="12" t="s">
        <v>206</v>
      </c>
      <c r="AJ396" s="12" t="s">
        <v>207</v>
      </c>
      <c r="AK396" s="12" t="s">
        <v>226</v>
      </c>
      <c r="AL396" s="12" t="s">
        <v>174</v>
      </c>
      <c r="AM396" s="12">
        <v>12.5</v>
      </c>
      <c r="AN396" t="s">
        <v>175</v>
      </c>
      <c r="AO396" s="12">
        <v>0</v>
      </c>
      <c r="AQ396" s="12" t="b">
        <v>0</v>
      </c>
      <c r="BR396" s="12" t="s">
        <v>178</v>
      </c>
      <c r="BV396" s="12" t="s">
        <v>179</v>
      </c>
      <c r="CF396" s="12" t="s">
        <v>268</v>
      </c>
      <c r="CS396" s="12" t="s">
        <v>181</v>
      </c>
      <c r="DA396" s="12">
        <v>1</v>
      </c>
      <c r="DB396" s="12">
        <v>2</v>
      </c>
      <c r="DN396" s="12" t="b">
        <v>0</v>
      </c>
      <c r="DQ396">
        <v>10</v>
      </c>
      <c r="DR396">
        <f t="shared" si="294"/>
        <v>1</v>
      </c>
      <c r="DS396" cm="1">
        <f t="array" ref="DS396">IF(AF396="&lt;0.2 ips",1,O.5)</f>
        <v>1</v>
      </c>
      <c r="DT396">
        <v>0.2</v>
      </c>
      <c r="DU396">
        <v>0.7</v>
      </c>
      <c r="DV396">
        <v>1</v>
      </c>
      <c r="DW396">
        <v>0.9</v>
      </c>
      <c r="DX396">
        <f t="shared" si="295"/>
        <v>1.4</v>
      </c>
      <c r="DY396">
        <f t="shared" si="296"/>
        <v>43739.72434759848</v>
      </c>
      <c r="DZ396">
        <f t="shared" si="297"/>
        <v>4.9931192177623833</v>
      </c>
      <c r="EA396">
        <f t="shared" si="298"/>
        <v>59.9</v>
      </c>
    </row>
    <row r="397" spans="1:131" hidden="1" x14ac:dyDescent="0.25">
      <c r="A397" t="s">
        <v>972</v>
      </c>
      <c r="B397" t="s">
        <v>896</v>
      </c>
      <c r="C397" t="s">
        <v>897</v>
      </c>
      <c r="D397" t="s">
        <v>973</v>
      </c>
      <c r="E397" t="s">
        <v>974</v>
      </c>
      <c r="F397" t="s">
        <v>134</v>
      </c>
      <c r="G397" t="s">
        <v>135</v>
      </c>
      <c r="H397" t="s">
        <v>136</v>
      </c>
      <c r="I397" t="s">
        <v>135</v>
      </c>
      <c r="M397" t="s">
        <v>137</v>
      </c>
      <c r="N397" t="b">
        <v>0</v>
      </c>
      <c r="DB397" s="12"/>
      <c r="DV397">
        <f t="shared" ref="DV397:DV398" si="299">IF(AA399="Horizontal",1,0.5)</f>
        <v>1</v>
      </c>
    </row>
    <row r="398" spans="1:131" hidden="1" x14ac:dyDescent="0.25">
      <c r="A398" t="s">
        <v>975</v>
      </c>
      <c r="B398" t="s">
        <v>896</v>
      </c>
      <c r="C398" t="s">
        <v>897</v>
      </c>
      <c r="D398" t="s">
        <v>973</v>
      </c>
      <c r="E398" t="s">
        <v>974</v>
      </c>
      <c r="F398" t="s">
        <v>139</v>
      </c>
      <c r="G398" t="s">
        <v>140</v>
      </c>
      <c r="H398" t="s">
        <v>141</v>
      </c>
      <c r="I398" t="s">
        <v>142</v>
      </c>
      <c r="M398" t="s">
        <v>137</v>
      </c>
      <c r="N398" t="b">
        <v>0</v>
      </c>
      <c r="Y398" s="12"/>
      <c r="AE398" s="12" t="s">
        <v>144</v>
      </c>
      <c r="AI398" s="12" t="s">
        <v>206</v>
      </c>
      <c r="AJ398" s="12" t="s">
        <v>207</v>
      </c>
      <c r="AK398" s="12" t="s">
        <v>226</v>
      </c>
      <c r="AR398" s="12" t="str">
        <f>HYPERLINK("https://www.google.com/search?q=","")</f>
        <v/>
      </c>
      <c r="AS398">
        <v>300</v>
      </c>
      <c r="AT398" t="s">
        <v>148</v>
      </c>
      <c r="AU398">
        <v>300</v>
      </c>
      <c r="AV398" t="s">
        <v>148</v>
      </c>
      <c r="AW398">
        <v>300</v>
      </c>
      <c r="AX398" t="s">
        <v>148</v>
      </c>
      <c r="AY398" s="12">
        <v>11</v>
      </c>
      <c r="AZ398" t="s">
        <v>149</v>
      </c>
      <c r="BF398" s="12" t="s">
        <v>780</v>
      </c>
      <c r="BH398" s="12" t="s">
        <v>151</v>
      </c>
      <c r="BI398" s="12" t="s">
        <v>926</v>
      </c>
      <c r="BL398" s="15" t="s">
        <v>339</v>
      </c>
      <c r="BN398" s="12" t="s">
        <v>902</v>
      </c>
      <c r="BP398" s="12" t="s">
        <v>155</v>
      </c>
      <c r="BT398" s="12" t="s">
        <v>196</v>
      </c>
      <c r="BV398" s="12" t="s">
        <v>157</v>
      </c>
      <c r="BY398" s="12" t="s">
        <v>155</v>
      </c>
      <c r="CA398" s="12" t="s">
        <v>158</v>
      </c>
      <c r="CD398" s="12">
        <v>100</v>
      </c>
      <c r="CE398" t="s">
        <v>148</v>
      </c>
      <c r="CH398" s="15" t="s">
        <v>907</v>
      </c>
      <c r="CU398" s="15" t="s">
        <v>907</v>
      </c>
      <c r="DC398" s="12" t="b">
        <v>0</v>
      </c>
      <c r="DD398" s="12" t="s">
        <v>219</v>
      </c>
      <c r="DG398" s="12"/>
      <c r="DV398">
        <f t="shared" si="299"/>
        <v>1</v>
      </c>
    </row>
    <row r="399" spans="1:131" hidden="1" x14ac:dyDescent="0.25">
      <c r="A399" t="s">
        <v>976</v>
      </c>
      <c r="B399" t="s">
        <v>896</v>
      </c>
      <c r="C399" t="s">
        <v>897</v>
      </c>
      <c r="D399" t="s">
        <v>973</v>
      </c>
      <c r="E399" t="s">
        <v>974</v>
      </c>
      <c r="F399" t="s">
        <v>977</v>
      </c>
      <c r="G399" t="s">
        <v>165</v>
      </c>
      <c r="H399" t="s">
        <v>166</v>
      </c>
      <c r="I399" t="s">
        <v>165</v>
      </c>
      <c r="M399" t="s">
        <v>137</v>
      </c>
      <c r="N399" t="b">
        <v>0</v>
      </c>
      <c r="P399" s="12" t="s">
        <v>929</v>
      </c>
      <c r="Q399" s="12" t="s">
        <v>929</v>
      </c>
      <c r="R399" s="12">
        <v>120</v>
      </c>
      <c r="S399" t="s">
        <v>148</v>
      </c>
      <c r="T399" s="12" t="s">
        <v>203</v>
      </c>
      <c r="U399" s="12">
        <v>31</v>
      </c>
      <c r="V399" t="s">
        <v>148</v>
      </c>
      <c r="Z399" s="12">
        <v>60</v>
      </c>
      <c r="AA399" s="12" t="s">
        <v>169</v>
      </c>
      <c r="AB399" s="12">
        <v>65</v>
      </c>
      <c r="AC399" t="s">
        <v>148</v>
      </c>
      <c r="AD399" s="12" t="s">
        <v>170</v>
      </c>
      <c r="AE399" s="12" t="s">
        <v>144</v>
      </c>
      <c r="AF399" s="12" t="s">
        <v>171</v>
      </c>
      <c r="AG399" s="13" t="s">
        <v>172</v>
      </c>
      <c r="AH399" s="12" t="s">
        <v>173</v>
      </c>
      <c r="AI399" s="12" t="s">
        <v>206</v>
      </c>
      <c r="AJ399" s="12" t="s">
        <v>207</v>
      </c>
      <c r="AK399" s="12" t="s">
        <v>226</v>
      </c>
      <c r="AL399" s="12" t="s">
        <v>174</v>
      </c>
      <c r="AM399" s="12">
        <v>19</v>
      </c>
      <c r="AN399" t="s">
        <v>175</v>
      </c>
      <c r="AO399" s="12">
        <v>0</v>
      </c>
      <c r="AQ399" s="12" t="b">
        <v>0</v>
      </c>
      <c r="BR399" s="12" t="s">
        <v>178</v>
      </c>
      <c r="BV399" s="12" t="s">
        <v>179</v>
      </c>
      <c r="CF399" s="12" t="s">
        <v>268</v>
      </c>
      <c r="CS399" s="12" t="s">
        <v>181</v>
      </c>
      <c r="DA399" s="12">
        <v>1</v>
      </c>
      <c r="DB399" s="12">
        <v>2</v>
      </c>
      <c r="DN399" s="12" t="b">
        <v>0</v>
      </c>
      <c r="DQ399">
        <v>10</v>
      </c>
      <c r="DR399">
        <f t="shared" ref="DR399:DR400" si="300">IF(AE399="125°F (51.7°C) - 150°F (65.6°C)",1,0.5)</f>
        <v>1</v>
      </c>
      <c r="DS399" cm="1">
        <f t="array" ref="DS399">IF(AF399="&lt;0.2 ips",1,O.5)</f>
        <v>1</v>
      </c>
      <c r="DT399">
        <v>0.2</v>
      </c>
      <c r="DU399">
        <v>0.7</v>
      </c>
      <c r="DV399">
        <v>1</v>
      </c>
      <c r="DW399">
        <v>0.9</v>
      </c>
      <c r="DX399">
        <f t="shared" ref="DX399:DX400" si="301">PRODUCT(DQ399:DV399)</f>
        <v>1.4</v>
      </c>
      <c r="DY399">
        <f t="shared" ref="DY399:DY400" si="302">+DX399*((14000000/(Z399*AB399^0.5))-4*AB399)</f>
        <v>40154.013299141428</v>
      </c>
      <c r="DZ399">
        <f t="shared" ref="DZ399:DZ400" si="303">+DY399/8760</f>
        <v>4.5837914725047293</v>
      </c>
      <c r="EA399">
        <f t="shared" ref="EA399:EA400" si="304">ROUND(+DZ399*12,1)</f>
        <v>55</v>
      </c>
    </row>
    <row r="400" spans="1:131" hidden="1" x14ac:dyDescent="0.25">
      <c r="A400" t="s">
        <v>978</v>
      </c>
      <c r="B400" t="s">
        <v>896</v>
      </c>
      <c r="C400" t="s">
        <v>897</v>
      </c>
      <c r="D400" t="s">
        <v>973</v>
      </c>
      <c r="E400" t="s">
        <v>974</v>
      </c>
      <c r="F400" t="s">
        <v>971</v>
      </c>
      <c r="G400" t="s">
        <v>165</v>
      </c>
      <c r="H400" t="s">
        <v>166</v>
      </c>
      <c r="I400" t="s">
        <v>165</v>
      </c>
      <c r="M400" t="s">
        <v>137</v>
      </c>
      <c r="N400" t="b">
        <v>0</v>
      </c>
      <c r="P400" s="12" t="s">
        <v>979</v>
      </c>
      <c r="Q400" s="12" t="s">
        <v>979</v>
      </c>
      <c r="R400" s="12">
        <v>90</v>
      </c>
      <c r="S400" t="s">
        <v>148</v>
      </c>
      <c r="T400" s="12" t="s">
        <v>203</v>
      </c>
      <c r="U400" s="12">
        <v>23</v>
      </c>
      <c r="V400" t="s">
        <v>148</v>
      </c>
      <c r="Z400" s="12">
        <v>60</v>
      </c>
      <c r="AA400" s="12" t="s">
        <v>169</v>
      </c>
      <c r="AB400" s="12">
        <v>50</v>
      </c>
      <c r="AC400" t="s">
        <v>148</v>
      </c>
      <c r="AD400" s="12" t="s">
        <v>170</v>
      </c>
      <c r="AE400" s="12" t="s">
        <v>144</v>
      </c>
      <c r="AF400" s="12" t="s">
        <v>171</v>
      </c>
      <c r="AG400" s="13" t="s">
        <v>172</v>
      </c>
      <c r="AH400" s="12" t="s">
        <v>173</v>
      </c>
      <c r="AI400" s="12" t="s">
        <v>206</v>
      </c>
      <c r="AJ400" s="12" t="s">
        <v>207</v>
      </c>
      <c r="AK400" s="12" t="s">
        <v>226</v>
      </c>
      <c r="AL400" s="12" t="s">
        <v>174</v>
      </c>
      <c r="AM400" s="12">
        <v>10</v>
      </c>
      <c r="AN400" t="s">
        <v>175</v>
      </c>
      <c r="AO400" s="12">
        <v>0</v>
      </c>
      <c r="AQ400" s="12" t="b">
        <v>0</v>
      </c>
      <c r="BR400" s="12" t="s">
        <v>178</v>
      </c>
      <c r="BV400" s="12" t="s">
        <v>179</v>
      </c>
      <c r="CF400" s="12" t="s">
        <v>268</v>
      </c>
      <c r="CS400" s="12" t="s">
        <v>181</v>
      </c>
      <c r="DA400" s="12">
        <v>1</v>
      </c>
      <c r="DB400" s="12">
        <v>2</v>
      </c>
      <c r="DN400" s="12" t="b">
        <v>0</v>
      </c>
      <c r="DQ400">
        <v>10</v>
      </c>
      <c r="DR400">
        <f t="shared" si="300"/>
        <v>1</v>
      </c>
      <c r="DS400" cm="1">
        <f t="array" ref="DS400">IF(AF400="&lt;0.2 ips",1,O.5)</f>
        <v>1</v>
      </c>
      <c r="DT400">
        <v>0.2</v>
      </c>
      <c r="DU400">
        <v>0.7</v>
      </c>
      <c r="DV400">
        <v>1</v>
      </c>
      <c r="DW400">
        <v>0.9</v>
      </c>
      <c r="DX400">
        <f t="shared" si="301"/>
        <v>1.4</v>
      </c>
      <c r="DY400">
        <f t="shared" si="302"/>
        <v>45917.643037521098</v>
      </c>
      <c r="DZ400">
        <f t="shared" si="303"/>
        <v>5.2417400727763814</v>
      </c>
      <c r="EA400">
        <f t="shared" si="304"/>
        <v>62.9</v>
      </c>
    </row>
    <row r="401" spans="1:131" hidden="1" x14ac:dyDescent="0.25">
      <c r="A401" t="s">
        <v>980</v>
      </c>
      <c r="B401" t="s">
        <v>896</v>
      </c>
      <c r="C401" t="s">
        <v>897</v>
      </c>
      <c r="D401" t="s">
        <v>981</v>
      </c>
      <c r="E401" t="s">
        <v>982</v>
      </c>
      <c r="F401" t="s">
        <v>134</v>
      </c>
      <c r="G401" t="s">
        <v>135</v>
      </c>
      <c r="H401" t="s">
        <v>136</v>
      </c>
      <c r="I401" t="s">
        <v>135</v>
      </c>
      <c r="M401" t="s">
        <v>137</v>
      </c>
      <c r="N401" t="b">
        <v>0</v>
      </c>
      <c r="DB401" s="12"/>
      <c r="DV401">
        <f t="shared" ref="DV401:DV402" si="305">IF(AA403="Horizontal",1,0.5)</f>
        <v>1</v>
      </c>
    </row>
    <row r="402" spans="1:131" hidden="1" x14ac:dyDescent="0.25">
      <c r="A402" t="s">
        <v>983</v>
      </c>
      <c r="B402" t="s">
        <v>896</v>
      </c>
      <c r="C402" t="s">
        <v>897</v>
      </c>
      <c r="D402" t="s">
        <v>981</v>
      </c>
      <c r="E402" t="s">
        <v>982</v>
      </c>
      <c r="F402" t="s">
        <v>139</v>
      </c>
      <c r="G402" t="s">
        <v>140</v>
      </c>
      <c r="H402" t="s">
        <v>141</v>
      </c>
      <c r="I402" t="s">
        <v>142</v>
      </c>
      <c r="M402" t="s">
        <v>137</v>
      </c>
      <c r="N402" t="b">
        <v>0</v>
      </c>
      <c r="Y402" s="12"/>
      <c r="AE402" s="12" t="s">
        <v>144</v>
      </c>
      <c r="AI402" s="12" t="s">
        <v>206</v>
      </c>
      <c r="AJ402" s="12" t="s">
        <v>207</v>
      </c>
      <c r="AK402" s="12" t="s">
        <v>226</v>
      </c>
      <c r="AR402" s="12" t="str">
        <f>HYPERLINK("https://www.google.com/search?q=","")</f>
        <v/>
      </c>
      <c r="AS402">
        <v>300</v>
      </c>
      <c r="AT402" t="s">
        <v>148</v>
      </c>
      <c r="AU402">
        <v>300</v>
      </c>
      <c r="AV402" t="s">
        <v>148</v>
      </c>
      <c r="AW402">
        <v>300</v>
      </c>
      <c r="AX402" t="s">
        <v>148</v>
      </c>
      <c r="AY402" s="12">
        <v>11</v>
      </c>
      <c r="AZ402" t="s">
        <v>149</v>
      </c>
      <c r="BF402" s="12" t="s">
        <v>780</v>
      </c>
      <c r="BH402" s="12" t="s">
        <v>151</v>
      </c>
      <c r="BI402" s="12" t="s">
        <v>926</v>
      </c>
      <c r="BL402" s="15" t="s">
        <v>339</v>
      </c>
      <c r="BN402" s="12" t="s">
        <v>902</v>
      </c>
      <c r="BP402" s="12" t="s">
        <v>155</v>
      </c>
      <c r="BT402" s="12" t="s">
        <v>196</v>
      </c>
      <c r="BV402" s="12" t="s">
        <v>157</v>
      </c>
      <c r="BY402" s="12" t="s">
        <v>155</v>
      </c>
      <c r="CA402" s="12" t="s">
        <v>158</v>
      </c>
      <c r="CD402" s="12">
        <v>100</v>
      </c>
      <c r="CE402" t="s">
        <v>148</v>
      </c>
      <c r="CH402" s="15" t="s">
        <v>907</v>
      </c>
      <c r="CU402" s="15" t="s">
        <v>907</v>
      </c>
      <c r="DC402" s="12" t="b">
        <v>0</v>
      </c>
      <c r="DD402" s="12" t="s">
        <v>219</v>
      </c>
      <c r="DG402" s="12"/>
      <c r="DV402">
        <f t="shared" si="305"/>
        <v>1</v>
      </c>
    </row>
    <row r="403" spans="1:131" hidden="1" x14ac:dyDescent="0.25">
      <c r="A403" t="s">
        <v>984</v>
      </c>
      <c r="B403" t="s">
        <v>896</v>
      </c>
      <c r="C403" t="s">
        <v>897</v>
      </c>
      <c r="D403" t="s">
        <v>981</v>
      </c>
      <c r="E403" t="s">
        <v>982</v>
      </c>
      <c r="F403" t="s">
        <v>977</v>
      </c>
      <c r="G403" t="s">
        <v>165</v>
      </c>
      <c r="H403" t="s">
        <v>166</v>
      </c>
      <c r="I403" t="s">
        <v>165</v>
      </c>
      <c r="M403" t="s">
        <v>137</v>
      </c>
      <c r="N403" t="b">
        <v>0</v>
      </c>
      <c r="P403" s="12" t="s">
        <v>929</v>
      </c>
      <c r="Q403" s="12" t="s">
        <v>929</v>
      </c>
      <c r="R403" s="12">
        <v>120</v>
      </c>
      <c r="S403" t="s">
        <v>148</v>
      </c>
      <c r="T403" s="12" t="s">
        <v>203</v>
      </c>
      <c r="U403" s="12">
        <v>31</v>
      </c>
      <c r="V403" t="s">
        <v>148</v>
      </c>
      <c r="Z403" s="12">
        <v>60</v>
      </c>
      <c r="AA403" s="12" t="s">
        <v>169</v>
      </c>
      <c r="AB403" s="12">
        <v>65</v>
      </c>
      <c r="AC403" t="s">
        <v>148</v>
      </c>
      <c r="AD403" s="12" t="s">
        <v>170</v>
      </c>
      <c r="AE403" s="12" t="s">
        <v>144</v>
      </c>
      <c r="AF403" s="12" t="s">
        <v>171</v>
      </c>
      <c r="AG403" s="13" t="s">
        <v>172</v>
      </c>
      <c r="AH403" s="12" t="s">
        <v>173</v>
      </c>
      <c r="AI403" s="12" t="s">
        <v>206</v>
      </c>
      <c r="AJ403" s="12" t="s">
        <v>207</v>
      </c>
      <c r="AK403" s="12" t="s">
        <v>226</v>
      </c>
      <c r="AL403" s="12" t="s">
        <v>174</v>
      </c>
      <c r="AM403" s="12">
        <v>19</v>
      </c>
      <c r="AN403" t="s">
        <v>175</v>
      </c>
      <c r="AO403" s="12">
        <v>0</v>
      </c>
      <c r="AQ403" s="12" t="b">
        <v>0</v>
      </c>
      <c r="BR403" s="12" t="s">
        <v>178</v>
      </c>
      <c r="BV403" s="12" t="s">
        <v>179</v>
      </c>
      <c r="CF403" s="12" t="s">
        <v>268</v>
      </c>
      <c r="CS403" s="12" t="s">
        <v>181</v>
      </c>
      <c r="DA403" s="12">
        <v>1</v>
      </c>
      <c r="DB403" s="12">
        <v>2</v>
      </c>
      <c r="DN403" s="12" t="b">
        <v>0</v>
      </c>
      <c r="DQ403">
        <v>10</v>
      </c>
      <c r="DR403">
        <f t="shared" ref="DR403:DR404" si="306">IF(AE403="125°F (51.7°C) - 150°F (65.6°C)",1,0.5)</f>
        <v>1</v>
      </c>
      <c r="DS403" cm="1">
        <f t="array" ref="DS403">IF(AF403="&lt;0.2 ips",1,O.5)</f>
        <v>1</v>
      </c>
      <c r="DT403">
        <v>0.2</v>
      </c>
      <c r="DU403">
        <v>0.7</v>
      </c>
      <c r="DV403">
        <v>1</v>
      </c>
      <c r="DW403">
        <v>0.9</v>
      </c>
      <c r="DX403">
        <f t="shared" ref="DX403:DX404" si="307">PRODUCT(DQ403:DV403)</f>
        <v>1.4</v>
      </c>
      <c r="DY403">
        <f t="shared" ref="DY403:DY404" si="308">+DX403*((14000000/(Z403*AB403^0.5))-4*AB403)</f>
        <v>40154.013299141428</v>
      </c>
      <c r="DZ403">
        <f t="shared" ref="DZ403:DZ404" si="309">+DY403/8760</f>
        <v>4.5837914725047293</v>
      </c>
      <c r="EA403">
        <f t="shared" ref="EA403:EA404" si="310">ROUND(+DZ403*12,1)</f>
        <v>55</v>
      </c>
    </row>
    <row r="404" spans="1:131" hidden="1" x14ac:dyDescent="0.25">
      <c r="A404" t="s">
        <v>985</v>
      </c>
      <c r="B404" t="s">
        <v>896</v>
      </c>
      <c r="C404" t="s">
        <v>897</v>
      </c>
      <c r="D404" t="s">
        <v>981</v>
      </c>
      <c r="E404" t="s">
        <v>982</v>
      </c>
      <c r="F404" t="s">
        <v>971</v>
      </c>
      <c r="G404" t="s">
        <v>165</v>
      </c>
      <c r="H404" t="s">
        <v>166</v>
      </c>
      <c r="I404" t="s">
        <v>165</v>
      </c>
      <c r="M404" t="s">
        <v>137</v>
      </c>
      <c r="N404" t="b">
        <v>0</v>
      </c>
      <c r="P404" s="12" t="s">
        <v>979</v>
      </c>
      <c r="Q404" s="12" t="s">
        <v>979</v>
      </c>
      <c r="R404" s="12">
        <v>90</v>
      </c>
      <c r="S404" t="s">
        <v>148</v>
      </c>
      <c r="T404" s="12" t="s">
        <v>203</v>
      </c>
      <c r="U404" s="12">
        <v>23</v>
      </c>
      <c r="V404" t="s">
        <v>148</v>
      </c>
      <c r="Z404" s="12">
        <v>60</v>
      </c>
      <c r="AA404" s="12" t="s">
        <v>169</v>
      </c>
      <c r="AB404" s="12">
        <v>50</v>
      </c>
      <c r="AC404" t="s">
        <v>148</v>
      </c>
      <c r="AD404" s="12" t="s">
        <v>170</v>
      </c>
      <c r="AE404" s="12" t="s">
        <v>144</v>
      </c>
      <c r="AF404" s="12" t="s">
        <v>171</v>
      </c>
      <c r="AG404" s="13" t="s">
        <v>172</v>
      </c>
      <c r="AH404" s="12" t="s">
        <v>173</v>
      </c>
      <c r="AI404" s="12" t="s">
        <v>206</v>
      </c>
      <c r="AJ404" s="12" t="s">
        <v>207</v>
      </c>
      <c r="AK404" s="12" t="s">
        <v>226</v>
      </c>
      <c r="AL404" s="12" t="s">
        <v>174</v>
      </c>
      <c r="AM404" s="12">
        <v>10</v>
      </c>
      <c r="AN404" t="s">
        <v>175</v>
      </c>
      <c r="AO404" s="12">
        <v>0</v>
      </c>
      <c r="AQ404" s="12" t="b">
        <v>0</v>
      </c>
      <c r="BR404" s="12" t="s">
        <v>178</v>
      </c>
      <c r="BV404" s="12" t="s">
        <v>179</v>
      </c>
      <c r="CF404" s="12" t="s">
        <v>268</v>
      </c>
      <c r="CS404" s="12" t="s">
        <v>181</v>
      </c>
      <c r="DA404" s="12">
        <v>1</v>
      </c>
      <c r="DB404" s="12">
        <v>2</v>
      </c>
      <c r="DN404" s="12" t="b">
        <v>0</v>
      </c>
      <c r="DQ404">
        <v>10</v>
      </c>
      <c r="DR404">
        <f t="shared" si="306"/>
        <v>1</v>
      </c>
      <c r="DS404" cm="1">
        <f t="array" ref="DS404">IF(AF404="&lt;0.2 ips",1,O.5)</f>
        <v>1</v>
      </c>
      <c r="DT404">
        <v>0.2</v>
      </c>
      <c r="DU404">
        <v>0.7</v>
      </c>
      <c r="DV404">
        <v>1</v>
      </c>
      <c r="DW404">
        <v>0.9</v>
      </c>
      <c r="DX404">
        <f t="shared" si="307"/>
        <v>1.4</v>
      </c>
      <c r="DY404">
        <f t="shared" si="308"/>
        <v>45917.643037521098</v>
      </c>
      <c r="DZ404">
        <f t="shared" si="309"/>
        <v>5.2417400727763814</v>
      </c>
      <c r="EA404">
        <f t="shared" si="310"/>
        <v>62.9</v>
      </c>
    </row>
    <row r="405" spans="1:131" hidden="1" x14ac:dyDescent="0.25">
      <c r="A405" t="s">
        <v>986</v>
      </c>
      <c r="B405" t="s">
        <v>896</v>
      </c>
      <c r="C405" t="s">
        <v>897</v>
      </c>
      <c r="D405" t="s">
        <v>987</v>
      </c>
      <c r="E405" t="s">
        <v>988</v>
      </c>
      <c r="F405" t="s">
        <v>989</v>
      </c>
      <c r="G405" t="s">
        <v>436</v>
      </c>
      <c r="H405" t="s">
        <v>437</v>
      </c>
      <c r="I405" t="s">
        <v>438</v>
      </c>
      <c r="L405" t="s">
        <v>990</v>
      </c>
      <c r="M405" t="s">
        <v>137</v>
      </c>
      <c r="N405" t="b">
        <v>0</v>
      </c>
      <c r="AM405" s="12"/>
      <c r="AN405" t="s">
        <v>991</v>
      </c>
      <c r="AO405" s="12"/>
      <c r="AP405" t="s">
        <v>186</v>
      </c>
      <c r="AR405" s="12" t="str">
        <f>HYPERLINK("https://www.google.com/search?q=","")</f>
        <v/>
      </c>
      <c r="BA405" s="12">
        <v>180000</v>
      </c>
      <c r="BB405" t="s">
        <v>175</v>
      </c>
      <c r="BR405" s="12" t="s">
        <v>155</v>
      </c>
      <c r="BV405" s="12" t="s">
        <v>179</v>
      </c>
      <c r="CS405" s="12" t="s">
        <v>992</v>
      </c>
      <c r="CT405" s="12" t="s">
        <v>441</v>
      </c>
      <c r="DA405" s="12">
        <v>1</v>
      </c>
      <c r="DB405" s="12">
        <v>1</v>
      </c>
      <c r="DV405">
        <f t="shared" ref="DV405:DV416" si="311">IF(AA407="Horizontal",1,0.5)</f>
        <v>1</v>
      </c>
    </row>
    <row r="406" spans="1:131" hidden="1" x14ac:dyDescent="0.25">
      <c r="A406" t="s">
        <v>993</v>
      </c>
      <c r="B406" t="s">
        <v>896</v>
      </c>
      <c r="C406" t="s">
        <v>897</v>
      </c>
      <c r="D406" t="s">
        <v>994</v>
      </c>
      <c r="E406" t="s">
        <v>995</v>
      </c>
      <c r="F406" t="s">
        <v>134</v>
      </c>
      <c r="G406" t="s">
        <v>201</v>
      </c>
      <c r="H406" t="s">
        <v>202</v>
      </c>
      <c r="I406" t="s">
        <v>201</v>
      </c>
      <c r="M406" t="s">
        <v>137</v>
      </c>
      <c r="N406" t="b">
        <v>0</v>
      </c>
      <c r="P406" s="12"/>
      <c r="Q406" s="12"/>
      <c r="X406" s="12"/>
      <c r="Y406" s="12"/>
      <c r="Z406" s="12">
        <v>1800</v>
      </c>
      <c r="AA406" s="12" t="s">
        <v>169</v>
      </c>
      <c r="AE406" s="12" t="s">
        <v>205</v>
      </c>
      <c r="AF406" s="12" t="s">
        <v>171</v>
      </c>
      <c r="AI406" s="12" t="s">
        <v>206</v>
      </c>
      <c r="AJ406" s="12" t="s">
        <v>207</v>
      </c>
      <c r="AK406" s="12" t="s">
        <v>208</v>
      </c>
      <c r="AL406" s="12" t="s">
        <v>209</v>
      </c>
      <c r="AM406" s="12"/>
      <c r="AN406" t="s">
        <v>991</v>
      </c>
      <c r="AO406" s="12"/>
      <c r="AP406" t="s">
        <v>176</v>
      </c>
      <c r="AQ406" s="12" t="b">
        <v>0</v>
      </c>
      <c r="AR406" s="12" t="str">
        <f>HYPERLINK("https://www.google.com/search?q=Siemens","Siemens")</f>
        <v>Siemens</v>
      </c>
      <c r="BR406" s="12" t="s">
        <v>155</v>
      </c>
      <c r="BV406" s="12" t="s">
        <v>210</v>
      </c>
      <c r="CF406" s="12" t="s">
        <v>187</v>
      </c>
      <c r="CS406" s="12" t="s">
        <v>181</v>
      </c>
      <c r="DA406" s="12">
        <v>2</v>
      </c>
      <c r="DN406" s="12" t="b">
        <v>0</v>
      </c>
      <c r="DV406">
        <f t="shared" si="311"/>
        <v>0.5</v>
      </c>
    </row>
    <row r="407" spans="1:131" hidden="1" x14ac:dyDescent="0.25">
      <c r="A407" t="s">
        <v>996</v>
      </c>
      <c r="B407" t="s">
        <v>896</v>
      </c>
      <c r="C407" t="s">
        <v>897</v>
      </c>
      <c r="D407" t="s">
        <v>994</v>
      </c>
      <c r="E407" t="s">
        <v>995</v>
      </c>
      <c r="F407" t="s">
        <v>134</v>
      </c>
      <c r="G407" t="s">
        <v>201</v>
      </c>
      <c r="H407" t="s">
        <v>212</v>
      </c>
      <c r="I407" t="s">
        <v>201</v>
      </c>
      <c r="M407" t="s">
        <v>137</v>
      </c>
      <c r="N407" t="b">
        <v>0</v>
      </c>
      <c r="P407" s="12"/>
      <c r="Q407" s="12"/>
      <c r="X407" s="12"/>
      <c r="Y407" s="12"/>
      <c r="Z407" s="12">
        <v>1800</v>
      </c>
      <c r="AA407" s="12" t="s">
        <v>169</v>
      </c>
      <c r="AE407" s="12" t="s">
        <v>205</v>
      </c>
      <c r="AF407" s="12" t="s">
        <v>171</v>
      </c>
      <c r="AI407" s="12" t="s">
        <v>206</v>
      </c>
      <c r="AJ407" s="12" t="s">
        <v>207</v>
      </c>
      <c r="AK407" s="12" t="s">
        <v>208</v>
      </c>
      <c r="AL407" s="12" t="s">
        <v>209</v>
      </c>
      <c r="AM407" s="12"/>
      <c r="AN407" t="s">
        <v>991</v>
      </c>
      <c r="AO407" s="12"/>
      <c r="AP407" t="s">
        <v>176</v>
      </c>
      <c r="AQ407" s="12" t="b">
        <v>0</v>
      </c>
      <c r="AR407" s="12" t="str">
        <f>HYPERLINK("https://www.google.com/search?q=Siemens","Siemens")</f>
        <v>Siemens</v>
      </c>
      <c r="BR407" s="12" t="s">
        <v>155</v>
      </c>
      <c r="BV407" s="12" t="s">
        <v>210</v>
      </c>
      <c r="CF407" s="12" t="s">
        <v>187</v>
      </c>
      <c r="CS407" s="12" t="s">
        <v>181</v>
      </c>
      <c r="DA407" s="12">
        <v>2</v>
      </c>
      <c r="DN407" s="12" t="b">
        <v>0</v>
      </c>
      <c r="DV407">
        <f t="shared" si="311"/>
        <v>0.5</v>
      </c>
    </row>
    <row r="408" spans="1:131" hidden="1" x14ac:dyDescent="0.25">
      <c r="A408" t="s">
        <v>997</v>
      </c>
      <c r="B408" t="s">
        <v>896</v>
      </c>
      <c r="C408" t="s">
        <v>897</v>
      </c>
      <c r="D408" t="s">
        <v>994</v>
      </c>
      <c r="E408" t="s">
        <v>995</v>
      </c>
      <c r="F408" t="s">
        <v>998</v>
      </c>
      <c r="G408" t="s">
        <v>165</v>
      </c>
      <c r="H408" t="s">
        <v>999</v>
      </c>
      <c r="I408" t="s">
        <v>142</v>
      </c>
      <c r="M408" t="s">
        <v>137</v>
      </c>
      <c r="N408" t="b">
        <v>0</v>
      </c>
      <c r="Y408" s="12"/>
      <c r="AE408" s="12" t="s">
        <v>144</v>
      </c>
      <c r="AI408" s="12" t="s">
        <v>1000</v>
      </c>
      <c r="AJ408" s="12" t="s">
        <v>207</v>
      </c>
      <c r="AK408" s="12" t="s">
        <v>226</v>
      </c>
      <c r="AR408" s="12" t="str">
        <f>HYPERLINK("https://www.google.com/search?q=","")</f>
        <v/>
      </c>
      <c r="AS408">
        <v>400</v>
      </c>
      <c r="AT408" t="s">
        <v>148</v>
      </c>
      <c r="AU408">
        <v>250</v>
      </c>
      <c r="AV408" t="s">
        <v>148</v>
      </c>
      <c r="AW408">
        <v>600</v>
      </c>
      <c r="AX408" t="s">
        <v>148</v>
      </c>
      <c r="AY408" s="12">
        <v>24</v>
      </c>
      <c r="AZ408" t="s">
        <v>149</v>
      </c>
      <c r="BF408" s="12" t="s">
        <v>332</v>
      </c>
      <c r="BH408" s="12" t="s">
        <v>458</v>
      </c>
      <c r="BI408" s="12" t="s">
        <v>152</v>
      </c>
      <c r="BL408" s="15" t="s">
        <v>577</v>
      </c>
      <c r="BN408" s="12" t="s">
        <v>520</v>
      </c>
      <c r="BP408" s="12" t="s">
        <v>155</v>
      </c>
      <c r="BT408" s="12" t="s">
        <v>340</v>
      </c>
      <c r="BV408" s="12" t="s">
        <v>157</v>
      </c>
      <c r="BY408" s="12" t="s">
        <v>155</v>
      </c>
      <c r="CA408" s="12" t="s">
        <v>218</v>
      </c>
      <c r="CD408" s="12">
        <v>100</v>
      </c>
      <c r="CE408" t="s">
        <v>148</v>
      </c>
      <c r="CH408" s="15" t="s">
        <v>577</v>
      </c>
      <c r="CU408" s="12" t="s">
        <v>159</v>
      </c>
      <c r="DC408" s="12" t="b">
        <v>0</v>
      </c>
      <c r="DD408" s="12" t="s">
        <v>607</v>
      </c>
      <c r="DG408" s="12" t="s">
        <v>521</v>
      </c>
      <c r="DV408">
        <f t="shared" si="311"/>
        <v>0.5</v>
      </c>
    </row>
    <row r="409" spans="1:131" hidden="1" x14ac:dyDescent="0.25">
      <c r="A409" t="s">
        <v>1001</v>
      </c>
      <c r="B409" t="s">
        <v>896</v>
      </c>
      <c r="C409" t="s">
        <v>897</v>
      </c>
      <c r="D409" t="s">
        <v>994</v>
      </c>
      <c r="E409" t="s">
        <v>995</v>
      </c>
      <c r="F409" t="s">
        <v>998</v>
      </c>
      <c r="G409" t="s">
        <v>165</v>
      </c>
      <c r="H409" t="s">
        <v>1002</v>
      </c>
      <c r="I409" t="s">
        <v>142</v>
      </c>
      <c r="M409" t="s">
        <v>137</v>
      </c>
      <c r="N409" t="b">
        <v>0</v>
      </c>
      <c r="Y409" s="12"/>
      <c r="AE409" s="12" t="s">
        <v>144</v>
      </c>
      <c r="AI409" s="12" t="s">
        <v>1000</v>
      </c>
      <c r="AJ409" s="12" t="s">
        <v>207</v>
      </c>
      <c r="AK409" s="12" t="s">
        <v>226</v>
      </c>
      <c r="AR409" s="12" t="str">
        <f>HYPERLINK("https://www.google.com/search?q=","")</f>
        <v/>
      </c>
      <c r="AS409">
        <v>400</v>
      </c>
      <c r="AT409" t="s">
        <v>148</v>
      </c>
      <c r="AU409">
        <v>250</v>
      </c>
      <c r="AV409" t="s">
        <v>148</v>
      </c>
      <c r="AW409">
        <v>600</v>
      </c>
      <c r="AX409" t="s">
        <v>148</v>
      </c>
      <c r="AY409" s="12">
        <v>24</v>
      </c>
      <c r="AZ409" t="s">
        <v>149</v>
      </c>
      <c r="BF409" s="12" t="s">
        <v>332</v>
      </c>
      <c r="BH409" s="12" t="s">
        <v>458</v>
      </c>
      <c r="BI409" s="12" t="s">
        <v>152</v>
      </c>
      <c r="BL409" s="12"/>
      <c r="BN409" s="12" t="s">
        <v>520</v>
      </c>
      <c r="BP409" s="12" t="s">
        <v>155</v>
      </c>
      <c r="BT409" s="12" t="s">
        <v>340</v>
      </c>
      <c r="BV409" s="12" t="s">
        <v>157</v>
      </c>
      <c r="BY409" s="12" t="s">
        <v>155</v>
      </c>
      <c r="CA409" s="12" t="s">
        <v>218</v>
      </c>
      <c r="CD409" s="12">
        <v>100</v>
      </c>
      <c r="CE409" t="s">
        <v>148</v>
      </c>
      <c r="CH409" s="15" t="s">
        <v>577</v>
      </c>
      <c r="CU409" s="12" t="s">
        <v>159</v>
      </c>
      <c r="DC409" s="12" t="b">
        <v>0</v>
      </c>
      <c r="DD409" s="12" t="s">
        <v>607</v>
      </c>
      <c r="DG409" s="12" t="s">
        <v>521</v>
      </c>
      <c r="DV409">
        <f t="shared" si="311"/>
        <v>1</v>
      </c>
    </row>
    <row r="410" spans="1:131" hidden="1" x14ac:dyDescent="0.25">
      <c r="A410" t="s">
        <v>1003</v>
      </c>
      <c r="B410" t="s">
        <v>896</v>
      </c>
      <c r="C410" t="s">
        <v>897</v>
      </c>
      <c r="D410" t="s">
        <v>1004</v>
      </c>
      <c r="E410" t="s">
        <v>1005</v>
      </c>
      <c r="F410" t="s">
        <v>134</v>
      </c>
      <c r="G410" t="s">
        <v>135</v>
      </c>
      <c r="H410" t="s">
        <v>136</v>
      </c>
      <c r="I410" t="s">
        <v>135</v>
      </c>
      <c r="M410" t="s">
        <v>137</v>
      </c>
      <c r="N410" t="b">
        <v>0</v>
      </c>
      <c r="DB410" s="12">
        <v>1</v>
      </c>
      <c r="DV410">
        <f t="shared" si="311"/>
        <v>1</v>
      </c>
    </row>
    <row r="411" spans="1:131" hidden="1" x14ac:dyDescent="0.25">
      <c r="A411" t="s">
        <v>1006</v>
      </c>
      <c r="B411" t="s">
        <v>896</v>
      </c>
      <c r="C411" t="s">
        <v>897</v>
      </c>
      <c r="D411" t="s">
        <v>1004</v>
      </c>
      <c r="E411" t="s">
        <v>1005</v>
      </c>
      <c r="F411" t="s">
        <v>998</v>
      </c>
      <c r="G411" t="s">
        <v>165</v>
      </c>
      <c r="H411" t="s">
        <v>202</v>
      </c>
      <c r="I411" t="s">
        <v>165</v>
      </c>
      <c r="M411" t="s">
        <v>137</v>
      </c>
      <c r="N411" t="b">
        <v>0</v>
      </c>
      <c r="P411" s="12" t="s">
        <v>967</v>
      </c>
      <c r="Q411" s="12" t="s">
        <v>967</v>
      </c>
      <c r="R411" s="12">
        <v>100</v>
      </c>
      <c r="S411" t="s">
        <v>148</v>
      </c>
      <c r="T411" s="12" t="s">
        <v>203</v>
      </c>
      <c r="U411" s="12">
        <v>25</v>
      </c>
      <c r="V411" t="s">
        <v>148</v>
      </c>
      <c r="Z411" s="12">
        <v>600</v>
      </c>
      <c r="AA411" s="12" t="s">
        <v>169</v>
      </c>
      <c r="AB411" s="12">
        <v>55</v>
      </c>
      <c r="AC411" t="s">
        <v>148</v>
      </c>
      <c r="AD411" s="12" t="s">
        <v>170</v>
      </c>
      <c r="AE411" s="12" t="s">
        <v>144</v>
      </c>
      <c r="AF411" s="12" t="s">
        <v>263</v>
      </c>
      <c r="AG411" s="13" t="s">
        <v>172</v>
      </c>
      <c r="AH411" s="12" t="s">
        <v>173</v>
      </c>
      <c r="AI411" s="12" t="s">
        <v>1000</v>
      </c>
      <c r="AJ411" s="12" t="s">
        <v>207</v>
      </c>
      <c r="AK411" s="12" t="s">
        <v>226</v>
      </c>
      <c r="AL411" s="12" t="s">
        <v>174</v>
      </c>
      <c r="AM411" s="12">
        <v>12.5</v>
      </c>
      <c r="AN411" t="s">
        <v>175</v>
      </c>
      <c r="AO411" s="12">
        <v>-4443</v>
      </c>
      <c r="AQ411" s="12" t="b">
        <v>0</v>
      </c>
      <c r="BR411" s="12" t="s">
        <v>155</v>
      </c>
      <c r="BV411" s="12" t="s">
        <v>179</v>
      </c>
      <c r="CF411" s="12" t="s">
        <v>187</v>
      </c>
      <c r="CS411" s="12" t="s">
        <v>181</v>
      </c>
      <c r="DA411" s="12">
        <v>1</v>
      </c>
      <c r="DN411" s="12" t="b">
        <v>0</v>
      </c>
      <c r="DQ411">
        <v>10</v>
      </c>
      <c r="DR411">
        <f t="shared" ref="DR411:DR412" si="312">IF(AE411="125°F (51.7°C) - 150°F (65.6°C)",1,0.5)</f>
        <v>1</v>
      </c>
      <c r="DS411">
        <v>0.5</v>
      </c>
      <c r="DT411">
        <v>0.2</v>
      </c>
      <c r="DU411">
        <v>0.7</v>
      </c>
      <c r="DV411">
        <v>1</v>
      </c>
      <c r="DW411">
        <v>0.9</v>
      </c>
      <c r="DX411">
        <f t="shared" ref="DX411:DX412" si="313">PRODUCT(DQ411:DV411)</f>
        <v>0.7</v>
      </c>
      <c r="DY411">
        <f t="shared" ref="DY411:DY412" si="314">+DX411*((14000000/(Z411*AB411^0.5))-4*AB411)</f>
        <v>2048.3862173799239</v>
      </c>
      <c r="DZ411">
        <f t="shared" ref="DZ411:DZ412" si="315">+DY411/8760</f>
        <v>0.23383404307989999</v>
      </c>
      <c r="EA411">
        <f t="shared" ref="EA411:EA412" si="316">ROUND(+DZ411*12,1)</f>
        <v>2.8</v>
      </c>
    </row>
    <row r="412" spans="1:131" hidden="1" x14ac:dyDescent="0.25">
      <c r="A412" t="s">
        <v>1007</v>
      </c>
      <c r="B412" t="s">
        <v>896</v>
      </c>
      <c r="C412" t="s">
        <v>897</v>
      </c>
      <c r="D412" t="s">
        <v>1004</v>
      </c>
      <c r="E412" t="s">
        <v>1005</v>
      </c>
      <c r="F412" t="s">
        <v>998</v>
      </c>
      <c r="G412" t="s">
        <v>165</v>
      </c>
      <c r="H412" t="s">
        <v>212</v>
      </c>
      <c r="I412" t="s">
        <v>165</v>
      </c>
      <c r="M412" t="s">
        <v>137</v>
      </c>
      <c r="N412" t="b">
        <v>0</v>
      </c>
      <c r="P412" s="12" t="s">
        <v>967</v>
      </c>
      <c r="Q412" s="12" t="s">
        <v>967</v>
      </c>
      <c r="R412" s="12">
        <v>100</v>
      </c>
      <c r="S412" t="s">
        <v>148</v>
      </c>
      <c r="T412" s="12" t="s">
        <v>203</v>
      </c>
      <c r="U412" s="12">
        <v>25</v>
      </c>
      <c r="V412" t="s">
        <v>148</v>
      </c>
      <c r="Z412" s="12">
        <v>600</v>
      </c>
      <c r="AA412" s="12" t="s">
        <v>169</v>
      </c>
      <c r="AB412" s="12">
        <v>55</v>
      </c>
      <c r="AC412" t="s">
        <v>148</v>
      </c>
      <c r="AD412" s="12" t="s">
        <v>170</v>
      </c>
      <c r="AE412" s="12" t="s">
        <v>144</v>
      </c>
      <c r="AF412" s="12" t="s">
        <v>263</v>
      </c>
      <c r="AG412" s="13" t="s">
        <v>172</v>
      </c>
      <c r="AH412" s="12" t="s">
        <v>173</v>
      </c>
      <c r="AI412" s="12" t="s">
        <v>1000</v>
      </c>
      <c r="AJ412" s="12" t="s">
        <v>207</v>
      </c>
      <c r="AK412" s="12" t="s">
        <v>226</v>
      </c>
      <c r="AL412" s="12" t="s">
        <v>174</v>
      </c>
      <c r="AM412" s="12">
        <v>12.5</v>
      </c>
      <c r="AN412" t="s">
        <v>175</v>
      </c>
      <c r="AO412" s="12">
        <v>-4443</v>
      </c>
      <c r="AQ412" s="12" t="b">
        <v>0</v>
      </c>
      <c r="BR412" s="12" t="s">
        <v>155</v>
      </c>
      <c r="BV412" s="12" t="s">
        <v>179</v>
      </c>
      <c r="CF412" s="12" t="s">
        <v>187</v>
      </c>
      <c r="CS412" s="12" t="s">
        <v>181</v>
      </c>
      <c r="DA412" s="12">
        <v>1</v>
      </c>
      <c r="DN412" s="12" t="b">
        <v>0</v>
      </c>
      <c r="DQ412">
        <v>10</v>
      </c>
      <c r="DR412">
        <f t="shared" si="312"/>
        <v>1</v>
      </c>
      <c r="DS412">
        <v>0.5</v>
      </c>
      <c r="DT412">
        <v>0.2</v>
      </c>
      <c r="DU412">
        <v>0.7</v>
      </c>
      <c r="DV412">
        <v>1</v>
      </c>
      <c r="DW412">
        <v>0.9</v>
      </c>
      <c r="DX412">
        <f t="shared" si="313"/>
        <v>0.7</v>
      </c>
      <c r="DY412">
        <f t="shared" si="314"/>
        <v>2048.3862173799239</v>
      </c>
      <c r="DZ412">
        <f t="shared" si="315"/>
        <v>0.23383404307989999</v>
      </c>
      <c r="EA412">
        <f t="shared" si="316"/>
        <v>2.8</v>
      </c>
    </row>
    <row r="413" spans="1:131" hidden="1" x14ac:dyDescent="0.25">
      <c r="A413" t="s">
        <v>1008</v>
      </c>
      <c r="B413" t="s">
        <v>896</v>
      </c>
      <c r="C413" t="s">
        <v>897</v>
      </c>
      <c r="D413" t="s">
        <v>1009</v>
      </c>
      <c r="E413" t="s">
        <v>1010</v>
      </c>
      <c r="F413" t="s">
        <v>134</v>
      </c>
      <c r="G413" t="s">
        <v>135</v>
      </c>
      <c r="H413" t="s">
        <v>136</v>
      </c>
      <c r="I413" t="s">
        <v>135</v>
      </c>
      <c r="M413" t="s">
        <v>137</v>
      </c>
      <c r="N413" t="b">
        <v>0</v>
      </c>
      <c r="DB413" s="12">
        <v>1</v>
      </c>
      <c r="DV413">
        <f t="shared" si="311"/>
        <v>1</v>
      </c>
    </row>
    <row r="414" spans="1:131" hidden="1" x14ac:dyDescent="0.25">
      <c r="A414" t="s">
        <v>1011</v>
      </c>
      <c r="B414" t="s">
        <v>896</v>
      </c>
      <c r="C414" t="s">
        <v>897</v>
      </c>
      <c r="D414" t="s">
        <v>1009</v>
      </c>
      <c r="E414" t="s">
        <v>1010</v>
      </c>
      <c r="F414" t="s">
        <v>998</v>
      </c>
      <c r="G414" t="s">
        <v>165</v>
      </c>
      <c r="H414" t="s">
        <v>202</v>
      </c>
      <c r="I414" t="s">
        <v>165</v>
      </c>
      <c r="M414" t="s">
        <v>137</v>
      </c>
      <c r="N414" t="b">
        <v>0</v>
      </c>
      <c r="P414" s="12" t="s">
        <v>967</v>
      </c>
      <c r="Q414" s="12" t="s">
        <v>967</v>
      </c>
      <c r="R414" s="12">
        <v>100</v>
      </c>
      <c r="S414" t="s">
        <v>148</v>
      </c>
      <c r="T414" s="12" t="s">
        <v>203</v>
      </c>
      <c r="U414" s="12">
        <v>25</v>
      </c>
      <c r="V414" t="s">
        <v>148</v>
      </c>
      <c r="Z414" s="12">
        <v>600</v>
      </c>
      <c r="AA414" s="12" t="s">
        <v>169</v>
      </c>
      <c r="AB414" s="12">
        <v>55</v>
      </c>
      <c r="AC414" t="s">
        <v>148</v>
      </c>
      <c r="AD414" s="12" t="s">
        <v>170</v>
      </c>
      <c r="AE414" s="12" t="s">
        <v>144</v>
      </c>
      <c r="AF414" s="12" t="s">
        <v>263</v>
      </c>
      <c r="AG414" s="13" t="s">
        <v>172</v>
      </c>
      <c r="AH414" s="12" t="s">
        <v>173</v>
      </c>
      <c r="AI414" s="12" t="s">
        <v>1000</v>
      </c>
      <c r="AJ414" s="12" t="s">
        <v>207</v>
      </c>
      <c r="AK414" s="12" t="s">
        <v>226</v>
      </c>
      <c r="AL414" s="12" t="s">
        <v>174</v>
      </c>
      <c r="AM414" s="12">
        <v>12.5</v>
      </c>
      <c r="AN414" t="s">
        <v>175</v>
      </c>
      <c r="AO414" s="12">
        <v>-5521</v>
      </c>
      <c r="AQ414" s="12" t="b">
        <v>0</v>
      </c>
      <c r="BR414" s="12" t="s">
        <v>155</v>
      </c>
      <c r="BV414" s="12" t="s">
        <v>179</v>
      </c>
      <c r="CF414" s="12" t="s">
        <v>187</v>
      </c>
      <c r="CS414" s="12" t="s">
        <v>181</v>
      </c>
      <c r="DA414" s="12">
        <v>1</v>
      </c>
      <c r="DN414" s="12" t="b">
        <v>0</v>
      </c>
      <c r="DQ414">
        <v>10</v>
      </c>
      <c r="DR414">
        <f t="shared" ref="DR414:DR415" si="317">IF(AE414="125°F (51.7°C) - 150°F (65.6°C)",1,0.5)</f>
        <v>1</v>
      </c>
      <c r="DS414">
        <v>0.5</v>
      </c>
      <c r="DT414">
        <v>0.2</v>
      </c>
      <c r="DU414">
        <v>0.7</v>
      </c>
      <c r="DV414">
        <v>1</v>
      </c>
      <c r="DW414">
        <v>0.9</v>
      </c>
      <c r="DX414">
        <f t="shared" ref="DX414:DX415" si="318">PRODUCT(DQ414:DV414)</f>
        <v>0.7</v>
      </c>
      <c r="DY414">
        <f t="shared" ref="DY414:DY415" si="319">+DX414*((14000000/(Z414*AB414^0.5))-4*AB414)</f>
        <v>2048.3862173799239</v>
      </c>
      <c r="DZ414">
        <f t="shared" ref="DZ414:DZ415" si="320">+DY414/8760</f>
        <v>0.23383404307989999</v>
      </c>
      <c r="EA414">
        <f t="shared" ref="EA414:EA415" si="321">ROUND(+DZ414*12,1)</f>
        <v>2.8</v>
      </c>
    </row>
    <row r="415" spans="1:131" hidden="1" x14ac:dyDescent="0.25">
      <c r="A415" t="s">
        <v>1012</v>
      </c>
      <c r="B415" t="s">
        <v>896</v>
      </c>
      <c r="C415" t="s">
        <v>897</v>
      </c>
      <c r="D415" t="s">
        <v>1009</v>
      </c>
      <c r="E415" t="s">
        <v>1010</v>
      </c>
      <c r="F415" t="s">
        <v>998</v>
      </c>
      <c r="G415" t="s">
        <v>165</v>
      </c>
      <c r="H415" t="s">
        <v>212</v>
      </c>
      <c r="I415" t="s">
        <v>165</v>
      </c>
      <c r="M415" t="s">
        <v>137</v>
      </c>
      <c r="N415" t="b">
        <v>0</v>
      </c>
      <c r="P415" s="12" t="s">
        <v>967</v>
      </c>
      <c r="Q415" s="12" t="s">
        <v>967</v>
      </c>
      <c r="R415" s="12">
        <v>100</v>
      </c>
      <c r="S415" t="s">
        <v>148</v>
      </c>
      <c r="T415" s="12" t="s">
        <v>203</v>
      </c>
      <c r="U415" s="12">
        <v>25</v>
      </c>
      <c r="V415" t="s">
        <v>148</v>
      </c>
      <c r="Z415" s="12">
        <v>600</v>
      </c>
      <c r="AA415" s="12" t="s">
        <v>169</v>
      </c>
      <c r="AB415" s="12">
        <v>55</v>
      </c>
      <c r="AC415" t="s">
        <v>148</v>
      </c>
      <c r="AD415" s="12" t="s">
        <v>170</v>
      </c>
      <c r="AE415" s="12" t="s">
        <v>144</v>
      </c>
      <c r="AF415" s="12" t="s">
        <v>263</v>
      </c>
      <c r="AG415" s="13" t="s">
        <v>172</v>
      </c>
      <c r="AH415" s="12" t="s">
        <v>173</v>
      </c>
      <c r="AI415" s="12" t="s">
        <v>1000</v>
      </c>
      <c r="AJ415" s="12" t="s">
        <v>207</v>
      </c>
      <c r="AK415" s="12" t="s">
        <v>226</v>
      </c>
      <c r="AL415" s="12" t="s">
        <v>174</v>
      </c>
      <c r="AM415" s="12">
        <v>12.5</v>
      </c>
      <c r="AN415" t="s">
        <v>175</v>
      </c>
      <c r="AO415" s="12">
        <v>-5521</v>
      </c>
      <c r="AQ415" s="12" t="b">
        <v>0</v>
      </c>
      <c r="BR415" s="12" t="s">
        <v>155</v>
      </c>
      <c r="BV415" s="12" t="s">
        <v>179</v>
      </c>
      <c r="CF415" s="12" t="s">
        <v>187</v>
      </c>
      <c r="CS415" s="12" t="s">
        <v>181</v>
      </c>
      <c r="DA415" s="12">
        <v>1</v>
      </c>
      <c r="DN415" s="12" t="b">
        <v>0</v>
      </c>
      <c r="DQ415">
        <v>10</v>
      </c>
      <c r="DR415">
        <f t="shared" si="317"/>
        <v>1</v>
      </c>
      <c r="DS415">
        <v>0.5</v>
      </c>
      <c r="DT415">
        <v>0.2</v>
      </c>
      <c r="DU415">
        <v>0.7</v>
      </c>
      <c r="DV415">
        <v>1</v>
      </c>
      <c r="DW415">
        <v>0.9</v>
      </c>
      <c r="DX415">
        <f t="shared" si="318"/>
        <v>0.7</v>
      </c>
      <c r="DY415">
        <f t="shared" si="319"/>
        <v>2048.3862173799239</v>
      </c>
      <c r="DZ415">
        <f t="shared" si="320"/>
        <v>0.23383404307989999</v>
      </c>
      <c r="EA415">
        <f t="shared" si="321"/>
        <v>2.8</v>
      </c>
    </row>
    <row r="416" spans="1:131" hidden="1" x14ac:dyDescent="0.25">
      <c r="A416" t="s">
        <v>1013</v>
      </c>
      <c r="B416" t="s">
        <v>896</v>
      </c>
      <c r="C416" t="s">
        <v>897</v>
      </c>
      <c r="D416" t="s">
        <v>1014</v>
      </c>
      <c r="E416" t="s">
        <v>1015</v>
      </c>
      <c r="F416" t="s">
        <v>134</v>
      </c>
      <c r="G416" t="s">
        <v>135</v>
      </c>
      <c r="H416" t="s">
        <v>136</v>
      </c>
      <c r="I416" t="s">
        <v>135</v>
      </c>
      <c r="M416" t="s">
        <v>137</v>
      </c>
      <c r="N416" t="b">
        <v>0</v>
      </c>
      <c r="DB416" s="12">
        <v>1</v>
      </c>
      <c r="DV416">
        <f t="shared" si="311"/>
        <v>1</v>
      </c>
    </row>
    <row r="417" spans="1:131" hidden="1" x14ac:dyDescent="0.25">
      <c r="A417" t="s">
        <v>1016</v>
      </c>
      <c r="B417" t="s">
        <v>896</v>
      </c>
      <c r="C417" t="s">
        <v>897</v>
      </c>
      <c r="D417" t="s">
        <v>1014</v>
      </c>
      <c r="E417" t="s">
        <v>1015</v>
      </c>
      <c r="F417" t="s">
        <v>998</v>
      </c>
      <c r="G417" t="s">
        <v>165</v>
      </c>
      <c r="H417" t="s">
        <v>166</v>
      </c>
      <c r="I417" t="s">
        <v>165</v>
      </c>
      <c r="M417" t="s">
        <v>137</v>
      </c>
      <c r="N417" t="b">
        <v>0</v>
      </c>
      <c r="P417" s="12" t="s">
        <v>967</v>
      </c>
      <c r="Q417" s="12" t="s">
        <v>967</v>
      </c>
      <c r="R417" s="12">
        <v>100</v>
      </c>
      <c r="S417" t="s">
        <v>148</v>
      </c>
      <c r="T417" s="12" t="s">
        <v>203</v>
      </c>
      <c r="U417" s="12">
        <v>25</v>
      </c>
      <c r="V417" t="s">
        <v>148</v>
      </c>
      <c r="Z417" s="12">
        <v>600</v>
      </c>
      <c r="AA417" s="12" t="s">
        <v>169</v>
      </c>
      <c r="AB417" s="12">
        <v>55</v>
      </c>
      <c r="AC417" t="s">
        <v>148</v>
      </c>
      <c r="AD417" s="12" t="s">
        <v>170</v>
      </c>
      <c r="AE417" s="12" t="s">
        <v>144</v>
      </c>
      <c r="AF417" s="12" t="s">
        <v>263</v>
      </c>
      <c r="AG417" s="13" t="s">
        <v>172</v>
      </c>
      <c r="AH417" s="12" t="s">
        <v>173</v>
      </c>
      <c r="AI417" s="12" t="s">
        <v>1000</v>
      </c>
      <c r="AJ417" s="12" t="s">
        <v>207</v>
      </c>
      <c r="AK417" s="12" t="s">
        <v>226</v>
      </c>
      <c r="AL417" s="12" t="s">
        <v>174</v>
      </c>
      <c r="AM417" s="12">
        <v>12.5</v>
      </c>
      <c r="AN417" t="s">
        <v>175</v>
      </c>
      <c r="AO417" s="12"/>
      <c r="AQ417" s="12" t="b">
        <v>0</v>
      </c>
      <c r="BR417" s="12" t="s">
        <v>155</v>
      </c>
      <c r="BV417" s="12" t="s">
        <v>179</v>
      </c>
      <c r="CF417" s="12" t="s">
        <v>187</v>
      </c>
      <c r="CS417" s="12" t="s">
        <v>181</v>
      </c>
      <c r="DA417" s="12">
        <v>1</v>
      </c>
      <c r="DN417" s="12" t="b">
        <v>0</v>
      </c>
      <c r="DQ417">
        <v>10</v>
      </c>
      <c r="DR417">
        <f t="shared" ref="DR417:DR418" si="322">IF(AE417="125°F (51.7°C) - 150°F (65.6°C)",1,0.5)</f>
        <v>1</v>
      </c>
      <c r="DS417">
        <v>0.5</v>
      </c>
      <c r="DT417">
        <v>0.2</v>
      </c>
      <c r="DU417">
        <v>0.7</v>
      </c>
      <c r="DV417">
        <v>1</v>
      </c>
      <c r="DW417">
        <v>0.9</v>
      </c>
      <c r="DX417">
        <f t="shared" ref="DX417:DX418" si="323">PRODUCT(DQ417:DV417)</f>
        <v>0.7</v>
      </c>
      <c r="DY417">
        <f t="shared" ref="DY417:DY418" si="324">+DX417*((14000000/(Z417*AB417^0.5))-4*AB417)</f>
        <v>2048.3862173799239</v>
      </c>
      <c r="DZ417">
        <f t="shared" ref="DZ417:DZ418" si="325">+DY417/8760</f>
        <v>0.23383404307989999</v>
      </c>
      <c r="EA417">
        <f t="shared" ref="EA417:EA418" si="326">ROUND(+DZ417*12,1)</f>
        <v>2.8</v>
      </c>
    </row>
    <row r="418" spans="1:131" hidden="1" x14ac:dyDescent="0.25">
      <c r="A418" t="s">
        <v>1017</v>
      </c>
      <c r="B418" t="s">
        <v>896</v>
      </c>
      <c r="C418" t="s">
        <v>897</v>
      </c>
      <c r="D418" t="s">
        <v>1014</v>
      </c>
      <c r="E418" t="s">
        <v>1015</v>
      </c>
      <c r="F418" t="s">
        <v>998</v>
      </c>
      <c r="G418" t="s">
        <v>165</v>
      </c>
      <c r="H418" t="s">
        <v>212</v>
      </c>
      <c r="I418" t="s">
        <v>165</v>
      </c>
      <c r="M418" t="s">
        <v>137</v>
      </c>
      <c r="N418" t="b">
        <v>0</v>
      </c>
      <c r="P418" s="12" t="s">
        <v>967</v>
      </c>
      <c r="Q418" s="12" t="s">
        <v>967</v>
      </c>
      <c r="R418" s="12">
        <v>100</v>
      </c>
      <c r="S418" t="s">
        <v>148</v>
      </c>
      <c r="T418" s="12" t="s">
        <v>203</v>
      </c>
      <c r="U418" s="12">
        <v>25</v>
      </c>
      <c r="V418" t="s">
        <v>148</v>
      </c>
      <c r="Z418" s="12">
        <v>1500</v>
      </c>
      <c r="AA418" s="12" t="s">
        <v>169</v>
      </c>
      <c r="AB418" s="12">
        <v>55</v>
      </c>
      <c r="AC418" t="s">
        <v>148</v>
      </c>
      <c r="AD418" s="12" t="s">
        <v>170</v>
      </c>
      <c r="AE418" s="12" t="s">
        <v>144</v>
      </c>
      <c r="AF418" s="12" t="s">
        <v>171</v>
      </c>
      <c r="AG418" s="13" t="s">
        <v>172</v>
      </c>
      <c r="AH418" s="12" t="s">
        <v>173</v>
      </c>
      <c r="AI418" s="12" t="s">
        <v>1000</v>
      </c>
      <c r="AJ418" s="12" t="s">
        <v>207</v>
      </c>
      <c r="AK418" s="12" t="s">
        <v>226</v>
      </c>
      <c r="AL418" s="12" t="s">
        <v>174</v>
      </c>
      <c r="AM418" s="12">
        <v>12.5</v>
      </c>
      <c r="AN418" t="s">
        <v>175</v>
      </c>
      <c r="AO418" s="12">
        <v>0</v>
      </c>
      <c r="AQ418" s="12" t="b">
        <v>0</v>
      </c>
      <c r="BR418" s="12" t="s">
        <v>155</v>
      </c>
      <c r="BV418" s="12" t="s">
        <v>179</v>
      </c>
      <c r="CF418" s="12" t="s">
        <v>187</v>
      </c>
      <c r="CS418" s="12" t="s">
        <v>181</v>
      </c>
      <c r="DA418" s="12">
        <v>1</v>
      </c>
      <c r="DB418" s="12">
        <v>1</v>
      </c>
      <c r="DN418" s="12" t="b">
        <v>0</v>
      </c>
      <c r="DQ418">
        <v>10</v>
      </c>
      <c r="DR418">
        <f t="shared" si="322"/>
        <v>1</v>
      </c>
      <c r="DS418" cm="1">
        <f t="array" ref="DS418">IF(AF418="&lt;0.2 ips",1,O.5)</f>
        <v>1</v>
      </c>
      <c r="DT418">
        <v>0.2</v>
      </c>
      <c r="DU418">
        <v>0.7</v>
      </c>
      <c r="DV418">
        <v>1</v>
      </c>
      <c r="DW418">
        <v>0.9</v>
      </c>
      <c r="DX418">
        <f t="shared" si="323"/>
        <v>1.4</v>
      </c>
      <c r="DY418">
        <f t="shared" si="324"/>
        <v>1453.9089739039391</v>
      </c>
      <c r="DZ418">
        <f t="shared" si="325"/>
        <v>0.16597134405296107</v>
      </c>
      <c r="EA418">
        <f t="shared" si="326"/>
        <v>2</v>
      </c>
    </row>
    <row r="419" spans="1:131" hidden="1" x14ac:dyDescent="0.25">
      <c r="A419" t="s">
        <v>1018</v>
      </c>
      <c r="B419" t="s">
        <v>896</v>
      </c>
      <c r="C419" t="s">
        <v>897</v>
      </c>
      <c r="D419" t="s">
        <v>1019</v>
      </c>
      <c r="E419" t="s">
        <v>1020</v>
      </c>
      <c r="F419" t="s">
        <v>134</v>
      </c>
      <c r="G419" t="s">
        <v>201</v>
      </c>
      <c r="H419" t="s">
        <v>202</v>
      </c>
      <c r="I419" t="s">
        <v>201</v>
      </c>
      <c r="M419" t="s">
        <v>137</v>
      </c>
      <c r="N419" t="b">
        <v>0</v>
      </c>
      <c r="P419" s="12"/>
      <c r="Q419" s="12"/>
      <c r="X419" s="12"/>
      <c r="Y419" s="12"/>
      <c r="Z419" s="12">
        <v>1800</v>
      </c>
      <c r="AA419" s="12" t="s">
        <v>169</v>
      </c>
      <c r="AE419" s="12" t="s">
        <v>205</v>
      </c>
      <c r="AF419" s="12" t="s">
        <v>171</v>
      </c>
      <c r="AI419" s="12" t="s">
        <v>206</v>
      </c>
      <c r="AJ419" s="12" t="s">
        <v>207</v>
      </c>
      <c r="AK419" s="12" t="s">
        <v>208</v>
      </c>
      <c r="AL419" s="12" t="s">
        <v>209</v>
      </c>
      <c r="AM419" s="12"/>
      <c r="AN419" t="s">
        <v>991</v>
      </c>
      <c r="AO419" s="12"/>
      <c r="AP419" t="s">
        <v>176</v>
      </c>
      <c r="AQ419" s="12" t="b">
        <v>0</v>
      </c>
      <c r="AR419" s="12" t="str">
        <f>HYPERLINK("https://www.google.com/search?q=Siemens","Siemens")</f>
        <v>Siemens</v>
      </c>
      <c r="BR419" s="12" t="s">
        <v>155</v>
      </c>
      <c r="BV419" s="12" t="s">
        <v>210</v>
      </c>
      <c r="CF419" s="12" t="s">
        <v>187</v>
      </c>
      <c r="CS419" s="12" t="s">
        <v>181</v>
      </c>
      <c r="DA419" s="12">
        <v>2</v>
      </c>
      <c r="DN419" s="12" t="b">
        <v>0</v>
      </c>
      <c r="DV419">
        <f t="shared" ref="DV419:DV427" si="327">IF(AA421="Horizontal",1,0.5)</f>
        <v>0.5</v>
      </c>
    </row>
    <row r="420" spans="1:131" hidden="1" x14ac:dyDescent="0.25">
      <c r="A420" t="s">
        <v>1021</v>
      </c>
      <c r="B420" t="s">
        <v>896</v>
      </c>
      <c r="C420" t="s">
        <v>897</v>
      </c>
      <c r="D420" t="s">
        <v>1019</v>
      </c>
      <c r="E420" t="s">
        <v>1020</v>
      </c>
      <c r="F420" t="s">
        <v>134</v>
      </c>
      <c r="G420" t="s">
        <v>201</v>
      </c>
      <c r="H420" t="s">
        <v>212</v>
      </c>
      <c r="I420" t="s">
        <v>201</v>
      </c>
      <c r="M420" t="s">
        <v>137</v>
      </c>
      <c r="N420" t="b">
        <v>0</v>
      </c>
      <c r="P420" s="12"/>
      <c r="Q420" s="12"/>
      <c r="X420" s="12"/>
      <c r="Y420" s="12"/>
      <c r="Z420" s="12">
        <v>1800</v>
      </c>
      <c r="AA420" s="12" t="s">
        <v>169</v>
      </c>
      <c r="AE420" s="12" t="s">
        <v>205</v>
      </c>
      <c r="AF420" s="12" t="s">
        <v>171</v>
      </c>
      <c r="AI420" s="12" t="s">
        <v>206</v>
      </c>
      <c r="AJ420" s="12" t="s">
        <v>207</v>
      </c>
      <c r="AK420" s="12" t="s">
        <v>208</v>
      </c>
      <c r="AL420" s="12" t="s">
        <v>209</v>
      </c>
      <c r="AM420" s="12"/>
      <c r="AN420" t="s">
        <v>991</v>
      </c>
      <c r="AO420" s="12"/>
      <c r="AP420" t="s">
        <v>176</v>
      </c>
      <c r="AQ420" s="12" t="b">
        <v>0</v>
      </c>
      <c r="AR420" s="12" t="str">
        <f>HYPERLINK("https://www.google.com/search?q=Siemens","Siemens")</f>
        <v>Siemens</v>
      </c>
      <c r="BR420" s="12" t="s">
        <v>155</v>
      </c>
      <c r="BV420" s="12" t="s">
        <v>210</v>
      </c>
      <c r="CF420" s="12" t="s">
        <v>187</v>
      </c>
      <c r="CS420" s="12" t="s">
        <v>181</v>
      </c>
      <c r="DA420" s="12">
        <v>2</v>
      </c>
      <c r="DN420" s="12" t="b">
        <v>0</v>
      </c>
      <c r="DV420">
        <f t="shared" si="327"/>
        <v>0.5</v>
      </c>
    </row>
    <row r="421" spans="1:131" hidden="1" x14ac:dyDescent="0.25">
      <c r="A421" t="s">
        <v>1022</v>
      </c>
      <c r="B421" t="s">
        <v>896</v>
      </c>
      <c r="C421" t="s">
        <v>897</v>
      </c>
      <c r="D421" t="s">
        <v>1019</v>
      </c>
      <c r="E421" t="s">
        <v>1020</v>
      </c>
      <c r="F421" t="s">
        <v>998</v>
      </c>
      <c r="G421" t="s">
        <v>165</v>
      </c>
      <c r="H421" t="s">
        <v>999</v>
      </c>
      <c r="I421" t="s">
        <v>142</v>
      </c>
      <c r="M421" t="s">
        <v>137</v>
      </c>
      <c r="N421" t="b">
        <v>0</v>
      </c>
      <c r="Y421" s="12"/>
      <c r="AE421" s="12" t="s">
        <v>144</v>
      </c>
      <c r="AI421" s="12" t="s">
        <v>1000</v>
      </c>
      <c r="AJ421" s="12" t="s">
        <v>207</v>
      </c>
      <c r="AK421" s="12" t="s">
        <v>226</v>
      </c>
      <c r="AR421" s="12" t="str">
        <f>HYPERLINK("https://www.google.com/search?q=","")</f>
        <v/>
      </c>
      <c r="AS421">
        <v>400</v>
      </c>
      <c r="AT421" t="s">
        <v>148</v>
      </c>
      <c r="AU421">
        <v>250</v>
      </c>
      <c r="AV421" t="s">
        <v>148</v>
      </c>
      <c r="AW421">
        <v>600</v>
      </c>
      <c r="AX421" t="s">
        <v>148</v>
      </c>
      <c r="AY421" s="12">
        <v>24</v>
      </c>
      <c r="AZ421" t="s">
        <v>149</v>
      </c>
      <c r="BF421" s="12" t="s">
        <v>332</v>
      </c>
      <c r="BH421" s="12" t="s">
        <v>458</v>
      </c>
      <c r="BI421" s="12" t="s">
        <v>152</v>
      </c>
      <c r="BL421" s="15" t="s">
        <v>577</v>
      </c>
      <c r="BN421" s="12" t="s">
        <v>520</v>
      </c>
      <c r="BP421" s="12" t="s">
        <v>155</v>
      </c>
      <c r="BT421" s="12" t="s">
        <v>340</v>
      </c>
      <c r="BV421" s="12" t="s">
        <v>157</v>
      </c>
      <c r="BY421" s="12" t="s">
        <v>155</v>
      </c>
      <c r="CA421" s="12" t="s">
        <v>218</v>
      </c>
      <c r="CD421" s="12">
        <v>100</v>
      </c>
      <c r="CE421" t="s">
        <v>148</v>
      </c>
      <c r="CH421" s="15" t="s">
        <v>577</v>
      </c>
      <c r="CU421" s="12" t="s">
        <v>159</v>
      </c>
      <c r="DC421" s="12" t="b">
        <v>0</v>
      </c>
      <c r="DD421" s="12" t="s">
        <v>607</v>
      </c>
      <c r="DG421" s="12" t="s">
        <v>521</v>
      </c>
      <c r="DV421">
        <f t="shared" si="327"/>
        <v>1</v>
      </c>
    </row>
    <row r="422" spans="1:131" hidden="1" x14ac:dyDescent="0.25">
      <c r="A422" t="s">
        <v>1023</v>
      </c>
      <c r="B422" t="s">
        <v>896</v>
      </c>
      <c r="C422" t="s">
        <v>897</v>
      </c>
      <c r="D422" t="s">
        <v>1019</v>
      </c>
      <c r="E422" t="s">
        <v>1020</v>
      </c>
      <c r="F422" t="s">
        <v>998</v>
      </c>
      <c r="G422" t="s">
        <v>165</v>
      </c>
      <c r="H422" t="s">
        <v>1002</v>
      </c>
      <c r="I422" t="s">
        <v>142</v>
      </c>
      <c r="M422" t="s">
        <v>137</v>
      </c>
      <c r="N422" t="b">
        <v>0</v>
      </c>
      <c r="Y422" s="12"/>
      <c r="AE422" s="12" t="s">
        <v>144</v>
      </c>
      <c r="AI422" s="12" t="s">
        <v>1000</v>
      </c>
      <c r="AJ422" s="12" t="s">
        <v>207</v>
      </c>
      <c r="AK422" s="12" t="s">
        <v>226</v>
      </c>
      <c r="AR422" s="12" t="str">
        <f>HYPERLINK("https://www.google.com/search?q=","")</f>
        <v/>
      </c>
      <c r="AS422">
        <v>400</v>
      </c>
      <c r="AT422" t="s">
        <v>148</v>
      </c>
      <c r="AU422">
        <v>250</v>
      </c>
      <c r="AV422" t="s">
        <v>148</v>
      </c>
      <c r="AW422">
        <v>600</v>
      </c>
      <c r="AX422" t="s">
        <v>148</v>
      </c>
      <c r="AY422" s="12">
        <v>24</v>
      </c>
      <c r="AZ422" t="s">
        <v>149</v>
      </c>
      <c r="BF422" s="12" t="s">
        <v>332</v>
      </c>
      <c r="BH422" s="12" t="s">
        <v>458</v>
      </c>
      <c r="BI422" s="12" t="s">
        <v>152</v>
      </c>
      <c r="BL422" s="12"/>
      <c r="BN422" s="12" t="s">
        <v>520</v>
      </c>
      <c r="BP422" s="12" t="s">
        <v>155</v>
      </c>
      <c r="BT422" s="12" t="s">
        <v>340</v>
      </c>
      <c r="BV422" s="12" t="s">
        <v>157</v>
      </c>
      <c r="BY422" s="12" t="s">
        <v>155</v>
      </c>
      <c r="CA422" s="12" t="s">
        <v>218</v>
      </c>
      <c r="CD422" s="12">
        <v>100</v>
      </c>
      <c r="CE422" t="s">
        <v>148</v>
      </c>
      <c r="CH422" s="15" t="s">
        <v>577</v>
      </c>
      <c r="CU422" s="12" t="s">
        <v>159</v>
      </c>
      <c r="DC422" s="12" t="b">
        <v>0</v>
      </c>
      <c r="DD422" s="12" t="s">
        <v>607</v>
      </c>
      <c r="DG422" s="12" t="s">
        <v>521</v>
      </c>
      <c r="DV422">
        <f t="shared" si="327"/>
        <v>1</v>
      </c>
    </row>
    <row r="423" spans="1:131" hidden="1" x14ac:dyDescent="0.25">
      <c r="A423" t="s">
        <v>1024</v>
      </c>
      <c r="B423" t="s">
        <v>896</v>
      </c>
      <c r="C423" t="s">
        <v>897</v>
      </c>
      <c r="D423" t="s">
        <v>1025</v>
      </c>
      <c r="E423" t="s">
        <v>1026</v>
      </c>
      <c r="F423" t="s">
        <v>134</v>
      </c>
      <c r="G423" t="s">
        <v>201</v>
      </c>
      <c r="H423" t="s">
        <v>202</v>
      </c>
      <c r="I423" t="s">
        <v>201</v>
      </c>
      <c r="M423" t="s">
        <v>137</v>
      </c>
      <c r="N423" t="b">
        <v>0</v>
      </c>
      <c r="P423" s="12"/>
      <c r="Q423" s="12"/>
      <c r="X423" s="12"/>
      <c r="Y423" s="12"/>
      <c r="Z423" s="12">
        <v>1800</v>
      </c>
      <c r="AA423" s="12" t="s">
        <v>169</v>
      </c>
      <c r="AE423" s="12" t="s">
        <v>205</v>
      </c>
      <c r="AF423" s="12" t="s">
        <v>171</v>
      </c>
      <c r="AI423" s="12" t="s">
        <v>206</v>
      </c>
      <c r="AJ423" s="12" t="s">
        <v>207</v>
      </c>
      <c r="AK423" s="12" t="s">
        <v>208</v>
      </c>
      <c r="AL423" s="12" t="s">
        <v>209</v>
      </c>
      <c r="AM423" s="12"/>
      <c r="AN423" t="s">
        <v>991</v>
      </c>
      <c r="AO423" s="12"/>
      <c r="AP423" t="s">
        <v>176</v>
      </c>
      <c r="AQ423" s="12" t="b">
        <v>0</v>
      </c>
      <c r="AR423" s="12" t="str">
        <f>HYPERLINK("https://www.google.com/search?q=Siemens","Siemens")</f>
        <v>Siemens</v>
      </c>
      <c r="BR423" s="12" t="s">
        <v>155</v>
      </c>
      <c r="BV423" s="12" t="s">
        <v>210</v>
      </c>
      <c r="CF423" s="12" t="s">
        <v>187</v>
      </c>
      <c r="CS423" s="12" t="s">
        <v>181</v>
      </c>
      <c r="DA423" s="12">
        <v>2</v>
      </c>
      <c r="DN423" s="12" t="b">
        <v>0</v>
      </c>
      <c r="DV423">
        <f t="shared" si="327"/>
        <v>0.5</v>
      </c>
    </row>
    <row r="424" spans="1:131" hidden="1" x14ac:dyDescent="0.25">
      <c r="A424" t="s">
        <v>1027</v>
      </c>
      <c r="B424" t="s">
        <v>896</v>
      </c>
      <c r="C424" t="s">
        <v>897</v>
      </c>
      <c r="D424" t="s">
        <v>1025</v>
      </c>
      <c r="E424" t="s">
        <v>1026</v>
      </c>
      <c r="F424" t="s">
        <v>134</v>
      </c>
      <c r="G424" t="s">
        <v>201</v>
      </c>
      <c r="H424" t="s">
        <v>212</v>
      </c>
      <c r="I424" t="s">
        <v>201</v>
      </c>
      <c r="M424" t="s">
        <v>137</v>
      </c>
      <c r="N424" t="b">
        <v>0</v>
      </c>
      <c r="P424" s="12"/>
      <c r="Q424" s="12"/>
      <c r="X424" s="12"/>
      <c r="Y424" s="12"/>
      <c r="Z424" s="12">
        <v>1800</v>
      </c>
      <c r="AA424" s="12" t="s">
        <v>169</v>
      </c>
      <c r="AE424" s="12" t="s">
        <v>205</v>
      </c>
      <c r="AF424" s="12" t="s">
        <v>171</v>
      </c>
      <c r="AI424" s="12" t="s">
        <v>206</v>
      </c>
      <c r="AJ424" s="12" t="s">
        <v>207</v>
      </c>
      <c r="AK424" s="12" t="s">
        <v>208</v>
      </c>
      <c r="AL424" s="12" t="s">
        <v>209</v>
      </c>
      <c r="AM424" s="12"/>
      <c r="AN424" t="s">
        <v>991</v>
      </c>
      <c r="AO424" s="12"/>
      <c r="AP424" t="s">
        <v>176</v>
      </c>
      <c r="AQ424" s="12" t="b">
        <v>0</v>
      </c>
      <c r="AR424" s="12" t="str">
        <f>HYPERLINK("https://www.google.com/search?q=Siemens","Siemens")</f>
        <v>Siemens</v>
      </c>
      <c r="BR424" s="12" t="s">
        <v>155</v>
      </c>
      <c r="BV424" s="12" t="s">
        <v>210</v>
      </c>
      <c r="CF424" s="12" t="s">
        <v>187</v>
      </c>
      <c r="CS424" s="12" t="s">
        <v>181</v>
      </c>
      <c r="DA424" s="12">
        <v>2</v>
      </c>
      <c r="DN424" s="12" t="b">
        <v>0</v>
      </c>
      <c r="DV424">
        <f t="shared" si="327"/>
        <v>0.5</v>
      </c>
    </row>
    <row r="425" spans="1:131" hidden="1" x14ac:dyDescent="0.25">
      <c r="A425" t="s">
        <v>1028</v>
      </c>
      <c r="B425" t="s">
        <v>896</v>
      </c>
      <c r="C425" t="s">
        <v>897</v>
      </c>
      <c r="D425" t="s">
        <v>1025</v>
      </c>
      <c r="E425" t="s">
        <v>1026</v>
      </c>
      <c r="F425" t="s">
        <v>998</v>
      </c>
      <c r="G425" t="s">
        <v>165</v>
      </c>
      <c r="H425" t="s">
        <v>1029</v>
      </c>
      <c r="I425" t="s">
        <v>634</v>
      </c>
      <c r="M425" t="s">
        <v>137</v>
      </c>
      <c r="N425" t="b">
        <v>0</v>
      </c>
      <c r="P425" s="12"/>
      <c r="Q425" s="12"/>
      <c r="R425" s="12"/>
      <c r="S425" t="s">
        <v>225</v>
      </c>
      <c r="T425" s="12" t="s">
        <v>168</v>
      </c>
      <c r="U425" s="12"/>
      <c r="V425" t="s">
        <v>225</v>
      </c>
      <c r="Z425" s="12">
        <v>1500</v>
      </c>
      <c r="AB425" s="12">
        <v>120</v>
      </c>
      <c r="AC425" t="s">
        <v>148</v>
      </c>
      <c r="AD425" s="12" t="s">
        <v>170</v>
      </c>
      <c r="AE425" s="12" t="s">
        <v>144</v>
      </c>
      <c r="AF425" s="12" t="s">
        <v>171</v>
      </c>
      <c r="AI425" s="12" t="s">
        <v>1000</v>
      </c>
      <c r="AJ425" s="12" t="s">
        <v>207</v>
      </c>
      <c r="AK425" s="12" t="s">
        <v>226</v>
      </c>
      <c r="AY425" s="12"/>
      <c r="AZ425" t="s">
        <v>195</v>
      </c>
      <c r="BL425" s="15" t="s">
        <v>577</v>
      </c>
      <c r="BM425" s="12" t="b">
        <v>0</v>
      </c>
      <c r="BN425" s="12" t="s">
        <v>902</v>
      </c>
      <c r="BP425" s="12" t="s">
        <v>155</v>
      </c>
      <c r="BT425" s="12" t="s">
        <v>521</v>
      </c>
      <c r="BV425" s="12" t="s">
        <v>625</v>
      </c>
      <c r="BY425" s="12" t="s">
        <v>155</v>
      </c>
      <c r="CA425" s="12" t="s">
        <v>218</v>
      </c>
      <c r="CD425" s="12">
        <v>80</v>
      </c>
      <c r="CE425" t="s">
        <v>148</v>
      </c>
      <c r="CH425" s="15" t="s">
        <v>577</v>
      </c>
      <c r="CU425" s="12" t="s">
        <v>159</v>
      </c>
      <c r="DB425" s="12">
        <v>1</v>
      </c>
      <c r="DC425" s="12" t="b">
        <v>0</v>
      </c>
      <c r="DD425" s="12" t="s">
        <v>607</v>
      </c>
      <c r="DG425" s="12" t="s">
        <v>1030</v>
      </c>
      <c r="DP425" s="12"/>
      <c r="DV425">
        <f t="shared" si="327"/>
        <v>0.5</v>
      </c>
    </row>
    <row r="426" spans="1:131" hidden="1" x14ac:dyDescent="0.25">
      <c r="A426" t="s">
        <v>1031</v>
      </c>
      <c r="B426" t="s">
        <v>896</v>
      </c>
      <c r="C426" t="s">
        <v>897</v>
      </c>
      <c r="D426" t="s">
        <v>1032</v>
      </c>
      <c r="E426" t="s">
        <v>1033</v>
      </c>
      <c r="F426" t="s">
        <v>134</v>
      </c>
      <c r="G426" t="s">
        <v>135</v>
      </c>
      <c r="H426" t="s">
        <v>136</v>
      </c>
      <c r="I426" t="s">
        <v>135</v>
      </c>
      <c r="M426" t="s">
        <v>137</v>
      </c>
      <c r="N426" t="b">
        <v>0</v>
      </c>
      <c r="DB426" s="12">
        <v>1</v>
      </c>
      <c r="DV426">
        <f t="shared" si="327"/>
        <v>1</v>
      </c>
    </row>
    <row r="427" spans="1:131" hidden="1" x14ac:dyDescent="0.25">
      <c r="A427" t="s">
        <v>1034</v>
      </c>
      <c r="B427" t="s">
        <v>896</v>
      </c>
      <c r="C427" t="s">
        <v>897</v>
      </c>
      <c r="D427" t="s">
        <v>1032</v>
      </c>
      <c r="E427" t="s">
        <v>1033</v>
      </c>
      <c r="F427" t="s">
        <v>139</v>
      </c>
      <c r="G427" t="s">
        <v>140</v>
      </c>
      <c r="H427" t="s">
        <v>141</v>
      </c>
      <c r="I427" t="s">
        <v>142</v>
      </c>
      <c r="M427" t="s">
        <v>137</v>
      </c>
      <c r="N427" t="b">
        <v>0</v>
      </c>
      <c r="Y427" s="12"/>
      <c r="AE427" s="12" t="s">
        <v>205</v>
      </c>
      <c r="AI427" s="12" t="s">
        <v>206</v>
      </c>
      <c r="AJ427" s="12" t="s">
        <v>207</v>
      </c>
      <c r="AK427" s="12" t="s">
        <v>226</v>
      </c>
      <c r="AR427" s="12" t="str">
        <f>HYPERLINK("https://www.google.com/search?q=","")</f>
        <v/>
      </c>
      <c r="AS427">
        <v>250</v>
      </c>
      <c r="AT427" t="s">
        <v>148</v>
      </c>
      <c r="AU427">
        <v>100</v>
      </c>
      <c r="AV427" t="s">
        <v>148</v>
      </c>
      <c r="AW427">
        <v>150</v>
      </c>
      <c r="AX427" t="s">
        <v>148</v>
      </c>
      <c r="AY427" s="12">
        <v>0.5</v>
      </c>
      <c r="AZ427" t="s">
        <v>149</v>
      </c>
      <c r="BF427" s="12"/>
      <c r="BH427" s="12" t="s">
        <v>151</v>
      </c>
      <c r="BI427" s="12" t="s">
        <v>926</v>
      </c>
      <c r="BL427" s="15" t="s">
        <v>1035</v>
      </c>
      <c r="BN427" s="12" t="s">
        <v>902</v>
      </c>
      <c r="BP427" s="12" t="s">
        <v>155</v>
      </c>
      <c r="BT427" s="12" t="s">
        <v>196</v>
      </c>
      <c r="BV427" s="12" t="s">
        <v>157</v>
      </c>
      <c r="BY427" s="12" t="s">
        <v>155</v>
      </c>
      <c r="CA427" s="12" t="s">
        <v>158</v>
      </c>
      <c r="CD427" s="12">
        <v>100</v>
      </c>
      <c r="CE427" t="s">
        <v>148</v>
      </c>
      <c r="CH427" s="12"/>
      <c r="CU427" s="15" t="s">
        <v>1035</v>
      </c>
      <c r="DC427" s="12" t="b">
        <v>0</v>
      </c>
      <c r="DD427" s="12" t="s">
        <v>219</v>
      </c>
      <c r="DG427" s="12" t="s">
        <v>196</v>
      </c>
      <c r="DV427">
        <f t="shared" si="327"/>
        <v>1</v>
      </c>
    </row>
    <row r="428" spans="1:131" hidden="1" x14ac:dyDescent="0.25">
      <c r="A428" t="s">
        <v>1036</v>
      </c>
      <c r="B428" t="s">
        <v>896</v>
      </c>
      <c r="C428" t="s">
        <v>897</v>
      </c>
      <c r="D428" t="s">
        <v>1032</v>
      </c>
      <c r="E428" t="s">
        <v>1033</v>
      </c>
      <c r="F428" t="s">
        <v>1037</v>
      </c>
      <c r="G428" t="s">
        <v>165</v>
      </c>
      <c r="H428" t="s">
        <v>202</v>
      </c>
      <c r="I428" t="s">
        <v>165</v>
      </c>
      <c r="M428" t="s">
        <v>137</v>
      </c>
      <c r="N428" t="b">
        <v>0</v>
      </c>
      <c r="P428" s="12" t="s">
        <v>967</v>
      </c>
      <c r="Q428" s="12" t="s">
        <v>967</v>
      </c>
      <c r="R428" s="12">
        <v>100</v>
      </c>
      <c r="S428" t="s">
        <v>148</v>
      </c>
      <c r="T428" s="12" t="s">
        <v>203</v>
      </c>
      <c r="U428" s="12">
        <v>25</v>
      </c>
      <c r="V428" t="s">
        <v>148</v>
      </c>
      <c r="Z428" s="12">
        <v>60</v>
      </c>
      <c r="AA428" s="12" t="s">
        <v>169</v>
      </c>
      <c r="AB428" s="12">
        <v>55</v>
      </c>
      <c r="AC428" t="s">
        <v>148</v>
      </c>
      <c r="AD428" s="12" t="s">
        <v>170</v>
      </c>
      <c r="AE428" s="12" t="s">
        <v>205</v>
      </c>
      <c r="AF428" s="12" t="s">
        <v>171</v>
      </c>
      <c r="AG428" s="13" t="s">
        <v>172</v>
      </c>
      <c r="AH428" s="12" t="s">
        <v>173</v>
      </c>
      <c r="AI428" s="12" t="s">
        <v>206</v>
      </c>
      <c r="AJ428" s="12" t="s">
        <v>207</v>
      </c>
      <c r="AK428" s="12" t="s">
        <v>226</v>
      </c>
      <c r="AL428" s="12" t="s">
        <v>174</v>
      </c>
      <c r="AM428" s="12">
        <v>12.5</v>
      </c>
      <c r="AN428" t="s">
        <v>175</v>
      </c>
      <c r="AO428" s="12">
        <v>1</v>
      </c>
      <c r="AP428" t="s">
        <v>321</v>
      </c>
      <c r="AQ428" s="12" t="b">
        <v>0</v>
      </c>
      <c r="BR428" s="12" t="s">
        <v>155</v>
      </c>
      <c r="BV428" s="12" t="s">
        <v>179</v>
      </c>
      <c r="CF428" s="12" t="s">
        <v>187</v>
      </c>
      <c r="CS428" s="12" t="s">
        <v>181</v>
      </c>
      <c r="DA428" s="12">
        <v>1</v>
      </c>
      <c r="DB428" s="12">
        <v>2</v>
      </c>
      <c r="DN428" s="12" t="b">
        <v>0</v>
      </c>
      <c r="DQ428">
        <v>10</v>
      </c>
      <c r="DR428">
        <f t="shared" ref="DR428:DR429" si="328">IF(AE428="125°F (51.7°C) - 150°F (65.6°C)",1,0.5)</f>
        <v>0.5</v>
      </c>
      <c r="DS428" cm="1">
        <f t="array" ref="DS428">IF(AF428="&lt;0.2 ips",1,O.5)</f>
        <v>1</v>
      </c>
      <c r="DT428">
        <v>0.2</v>
      </c>
      <c r="DU428">
        <v>0.7</v>
      </c>
      <c r="DV428">
        <v>1</v>
      </c>
      <c r="DW428">
        <v>0.9</v>
      </c>
      <c r="DX428">
        <f t="shared" ref="DX428:DX429" si="329">PRODUCT(DQ428:DV428)</f>
        <v>0.7</v>
      </c>
      <c r="DY428">
        <f t="shared" ref="DY428:DY429" si="330">+DX428*((14000000/(Z428*AB428^0.5))-4*AB428)</f>
        <v>21869.86217379924</v>
      </c>
      <c r="DZ428">
        <f t="shared" ref="DZ428:DZ429" si="331">+DY428/8760</f>
        <v>2.4965596088811917</v>
      </c>
      <c r="EA428">
        <f t="shared" ref="EA428:EA429" si="332">ROUND(+DZ428*12,1)</f>
        <v>30</v>
      </c>
    </row>
    <row r="429" spans="1:131" hidden="1" x14ac:dyDescent="0.25">
      <c r="A429" t="s">
        <v>1038</v>
      </c>
      <c r="B429" t="s">
        <v>896</v>
      </c>
      <c r="C429" t="s">
        <v>897</v>
      </c>
      <c r="D429" t="s">
        <v>1032</v>
      </c>
      <c r="E429" t="s">
        <v>1033</v>
      </c>
      <c r="F429" t="s">
        <v>1037</v>
      </c>
      <c r="G429" t="s">
        <v>165</v>
      </c>
      <c r="H429" t="s">
        <v>212</v>
      </c>
      <c r="I429" t="s">
        <v>165</v>
      </c>
      <c r="M429" t="s">
        <v>137</v>
      </c>
      <c r="N429" t="b">
        <v>0</v>
      </c>
      <c r="P429" s="12" t="s">
        <v>967</v>
      </c>
      <c r="Q429" s="12" t="s">
        <v>967</v>
      </c>
      <c r="R429" s="12">
        <v>100</v>
      </c>
      <c r="S429" t="s">
        <v>148</v>
      </c>
      <c r="T429" s="12" t="s">
        <v>203</v>
      </c>
      <c r="U429" s="12">
        <v>25</v>
      </c>
      <c r="V429" t="s">
        <v>148</v>
      </c>
      <c r="Z429" s="12">
        <v>60</v>
      </c>
      <c r="AA429" s="12" t="s">
        <v>169</v>
      </c>
      <c r="AB429" s="12">
        <v>55</v>
      </c>
      <c r="AC429" t="s">
        <v>148</v>
      </c>
      <c r="AD429" s="12" t="s">
        <v>170</v>
      </c>
      <c r="AE429" s="12" t="s">
        <v>205</v>
      </c>
      <c r="AF429" s="12" t="s">
        <v>171</v>
      </c>
      <c r="AG429" s="13" t="s">
        <v>172</v>
      </c>
      <c r="AH429" s="12" t="s">
        <v>173</v>
      </c>
      <c r="AI429" s="12" t="s">
        <v>206</v>
      </c>
      <c r="AJ429" s="12" t="s">
        <v>207</v>
      </c>
      <c r="AK429" s="12" t="s">
        <v>226</v>
      </c>
      <c r="AL429" s="12" t="s">
        <v>174</v>
      </c>
      <c r="AM429" s="12">
        <v>12.5</v>
      </c>
      <c r="AN429" t="s">
        <v>175</v>
      </c>
      <c r="AO429" s="12">
        <v>1</v>
      </c>
      <c r="AP429" t="s">
        <v>321</v>
      </c>
      <c r="AQ429" s="12" t="b">
        <v>0</v>
      </c>
      <c r="BR429" s="12" t="s">
        <v>155</v>
      </c>
      <c r="BV429" s="12" t="s">
        <v>179</v>
      </c>
      <c r="CF429" s="12" t="s">
        <v>187</v>
      </c>
      <c r="CS429" s="12" t="s">
        <v>181</v>
      </c>
      <c r="DA429" s="12">
        <v>1</v>
      </c>
      <c r="DB429" s="12">
        <v>2</v>
      </c>
      <c r="DN429" s="12" t="b">
        <v>0</v>
      </c>
      <c r="DQ429">
        <v>10</v>
      </c>
      <c r="DR429">
        <f t="shared" si="328"/>
        <v>0.5</v>
      </c>
      <c r="DS429" cm="1">
        <f t="array" ref="DS429">IF(AF429="&lt;0.2 ips",1,O.5)</f>
        <v>1</v>
      </c>
      <c r="DT429">
        <v>0.2</v>
      </c>
      <c r="DU429">
        <v>0.7</v>
      </c>
      <c r="DV429">
        <v>1</v>
      </c>
      <c r="DW429">
        <v>0.9</v>
      </c>
      <c r="DX429">
        <f t="shared" si="329"/>
        <v>0.7</v>
      </c>
      <c r="DY429">
        <f t="shared" si="330"/>
        <v>21869.86217379924</v>
      </c>
      <c r="DZ429">
        <f t="shared" si="331"/>
        <v>2.4965596088811917</v>
      </c>
      <c r="EA429">
        <f t="shared" si="332"/>
        <v>30</v>
      </c>
    </row>
    <row r="430" spans="1:131" hidden="1" x14ac:dyDescent="0.25">
      <c r="A430" t="s">
        <v>1039</v>
      </c>
      <c r="B430" t="s">
        <v>896</v>
      </c>
      <c r="C430" t="s">
        <v>897</v>
      </c>
      <c r="D430" t="s">
        <v>1040</v>
      </c>
      <c r="E430" t="s">
        <v>1041</v>
      </c>
      <c r="F430" t="s">
        <v>134</v>
      </c>
      <c r="G430" t="s">
        <v>135</v>
      </c>
      <c r="H430" t="s">
        <v>136</v>
      </c>
      <c r="I430" t="s">
        <v>135</v>
      </c>
      <c r="M430" t="s">
        <v>137</v>
      </c>
      <c r="N430" t="b">
        <v>0</v>
      </c>
      <c r="DB430" s="12">
        <v>1</v>
      </c>
      <c r="DV430">
        <f t="shared" ref="DV430:DV431" si="333">IF(AA432="Horizontal",1,0.5)</f>
        <v>1</v>
      </c>
    </row>
    <row r="431" spans="1:131" hidden="1" x14ac:dyDescent="0.25">
      <c r="A431" t="s">
        <v>1042</v>
      </c>
      <c r="B431" t="s">
        <v>896</v>
      </c>
      <c r="C431" t="s">
        <v>897</v>
      </c>
      <c r="D431" t="s">
        <v>1040</v>
      </c>
      <c r="E431" t="s">
        <v>1041</v>
      </c>
      <c r="F431" t="s">
        <v>139</v>
      </c>
      <c r="G431" t="s">
        <v>140</v>
      </c>
      <c r="H431" t="s">
        <v>141</v>
      </c>
      <c r="I431" t="s">
        <v>142</v>
      </c>
      <c r="M431" t="s">
        <v>137</v>
      </c>
      <c r="N431" t="b">
        <v>0</v>
      </c>
      <c r="Y431" s="12"/>
      <c r="AE431" s="12" t="s">
        <v>205</v>
      </c>
      <c r="AI431" s="12" t="s">
        <v>206</v>
      </c>
      <c r="AJ431" s="12" t="s">
        <v>207</v>
      </c>
      <c r="AK431" s="12" t="s">
        <v>226</v>
      </c>
      <c r="AR431" s="12" t="str">
        <f>HYPERLINK("https://www.google.com/search?q=","")</f>
        <v/>
      </c>
      <c r="AS431">
        <v>300</v>
      </c>
      <c r="AT431" t="s">
        <v>148</v>
      </c>
      <c r="AU431">
        <v>300</v>
      </c>
      <c r="AV431" t="s">
        <v>148</v>
      </c>
      <c r="AW431">
        <v>300</v>
      </c>
      <c r="AX431" t="s">
        <v>148</v>
      </c>
      <c r="AY431" s="12">
        <v>3</v>
      </c>
      <c r="AZ431" t="s">
        <v>149</v>
      </c>
      <c r="BF431" s="12" t="s">
        <v>780</v>
      </c>
      <c r="BH431" s="12" t="s">
        <v>151</v>
      </c>
      <c r="BI431" s="12" t="s">
        <v>926</v>
      </c>
      <c r="BL431" s="15" t="s">
        <v>907</v>
      </c>
      <c r="BN431" s="12" t="s">
        <v>902</v>
      </c>
      <c r="BP431" s="12" t="s">
        <v>155</v>
      </c>
      <c r="BT431" s="12" t="s">
        <v>196</v>
      </c>
      <c r="BV431" s="12" t="s">
        <v>157</v>
      </c>
      <c r="BY431" s="12" t="s">
        <v>155</v>
      </c>
      <c r="CA431" s="12" t="s">
        <v>158</v>
      </c>
      <c r="CD431" s="12">
        <v>100</v>
      </c>
      <c r="CE431" t="s">
        <v>148</v>
      </c>
      <c r="CH431" s="15" t="s">
        <v>907</v>
      </c>
      <c r="CU431" s="15" t="s">
        <v>907</v>
      </c>
      <c r="DC431" s="12" t="b">
        <v>0</v>
      </c>
      <c r="DD431" s="12" t="s">
        <v>219</v>
      </c>
      <c r="DG431" s="12" t="s">
        <v>196</v>
      </c>
      <c r="DV431">
        <f t="shared" si="333"/>
        <v>1</v>
      </c>
    </row>
    <row r="432" spans="1:131" hidden="1" x14ac:dyDescent="0.25">
      <c r="A432" t="s">
        <v>1043</v>
      </c>
      <c r="B432" t="s">
        <v>896</v>
      </c>
      <c r="C432" t="s">
        <v>897</v>
      </c>
      <c r="D432" t="s">
        <v>1040</v>
      </c>
      <c r="E432" t="s">
        <v>1041</v>
      </c>
      <c r="F432" t="s">
        <v>1037</v>
      </c>
      <c r="G432" t="s">
        <v>165</v>
      </c>
      <c r="H432" t="s">
        <v>202</v>
      </c>
      <c r="I432" t="s">
        <v>165</v>
      </c>
      <c r="M432" t="s">
        <v>137</v>
      </c>
      <c r="N432" t="b">
        <v>0</v>
      </c>
      <c r="P432" s="12" t="s">
        <v>967</v>
      </c>
      <c r="Q432" s="12" t="s">
        <v>967</v>
      </c>
      <c r="R432" s="12">
        <v>100</v>
      </c>
      <c r="S432" t="s">
        <v>148</v>
      </c>
      <c r="T432" s="12" t="s">
        <v>203</v>
      </c>
      <c r="U432" s="12">
        <v>25</v>
      </c>
      <c r="V432" t="s">
        <v>148</v>
      </c>
      <c r="Z432" s="12">
        <v>60</v>
      </c>
      <c r="AA432" s="12" t="s">
        <v>169</v>
      </c>
      <c r="AB432" s="12">
        <v>55</v>
      </c>
      <c r="AC432" t="s">
        <v>148</v>
      </c>
      <c r="AD432" s="12" t="s">
        <v>170</v>
      </c>
      <c r="AE432" s="12" t="s">
        <v>205</v>
      </c>
      <c r="AF432" s="12" t="s">
        <v>171</v>
      </c>
      <c r="AG432" s="13" t="s">
        <v>172</v>
      </c>
      <c r="AH432" s="12" t="s">
        <v>173</v>
      </c>
      <c r="AI432" s="12" t="s">
        <v>206</v>
      </c>
      <c r="AJ432" s="12" t="s">
        <v>207</v>
      </c>
      <c r="AK432" s="12" t="s">
        <v>226</v>
      </c>
      <c r="AL432" s="12" t="s">
        <v>174</v>
      </c>
      <c r="AM432" s="12">
        <v>12.5</v>
      </c>
      <c r="AN432" t="s">
        <v>175</v>
      </c>
      <c r="AO432" s="12">
        <v>1</v>
      </c>
      <c r="AP432" t="s">
        <v>321</v>
      </c>
      <c r="AQ432" s="12" t="b">
        <v>0</v>
      </c>
      <c r="BR432" s="12" t="s">
        <v>155</v>
      </c>
      <c r="BV432" s="12" t="s">
        <v>179</v>
      </c>
      <c r="CF432" s="12" t="s">
        <v>187</v>
      </c>
      <c r="CS432" s="12" t="s">
        <v>181</v>
      </c>
      <c r="DA432" s="12">
        <v>1</v>
      </c>
      <c r="DB432" s="12">
        <v>2</v>
      </c>
      <c r="DN432" s="12" t="b">
        <v>0</v>
      </c>
      <c r="DQ432">
        <v>10</v>
      </c>
      <c r="DR432">
        <f t="shared" ref="DR432:DR433" si="334">IF(AE432="125°F (51.7°C) - 150°F (65.6°C)",1,0.5)</f>
        <v>0.5</v>
      </c>
      <c r="DS432" cm="1">
        <f t="array" ref="DS432">IF(AF432="&lt;0.2 ips",1,O.5)</f>
        <v>1</v>
      </c>
      <c r="DT432">
        <v>0.2</v>
      </c>
      <c r="DU432">
        <v>0.7</v>
      </c>
      <c r="DV432">
        <v>1</v>
      </c>
      <c r="DW432">
        <v>0.9</v>
      </c>
      <c r="DX432">
        <f t="shared" ref="DX432:DX433" si="335">PRODUCT(DQ432:DV432)</f>
        <v>0.7</v>
      </c>
      <c r="DY432">
        <f t="shared" ref="DY432:DY433" si="336">+DX432*((14000000/(Z432*AB432^0.5))-4*AB432)</f>
        <v>21869.86217379924</v>
      </c>
      <c r="DZ432">
        <f t="shared" ref="DZ432:DZ433" si="337">+DY432/8760</f>
        <v>2.4965596088811917</v>
      </c>
      <c r="EA432">
        <f t="shared" ref="EA432:EA433" si="338">ROUND(+DZ432*12,1)</f>
        <v>30</v>
      </c>
    </row>
    <row r="433" spans="1:131" hidden="1" x14ac:dyDescent="0.25">
      <c r="A433" t="s">
        <v>1044</v>
      </c>
      <c r="B433" t="s">
        <v>896</v>
      </c>
      <c r="C433" t="s">
        <v>897</v>
      </c>
      <c r="D433" t="s">
        <v>1040</v>
      </c>
      <c r="E433" t="s">
        <v>1041</v>
      </c>
      <c r="F433" t="s">
        <v>1037</v>
      </c>
      <c r="G433" t="s">
        <v>165</v>
      </c>
      <c r="H433" t="s">
        <v>212</v>
      </c>
      <c r="I433" t="s">
        <v>165</v>
      </c>
      <c r="M433" t="s">
        <v>137</v>
      </c>
      <c r="N433" t="b">
        <v>0</v>
      </c>
      <c r="P433" s="12" t="s">
        <v>967</v>
      </c>
      <c r="Q433" s="12" t="s">
        <v>967</v>
      </c>
      <c r="R433" s="12">
        <v>100</v>
      </c>
      <c r="S433" t="s">
        <v>148</v>
      </c>
      <c r="T433" s="12" t="s">
        <v>203</v>
      </c>
      <c r="U433" s="12">
        <v>25</v>
      </c>
      <c r="V433" t="s">
        <v>148</v>
      </c>
      <c r="Z433" s="12">
        <v>60</v>
      </c>
      <c r="AA433" s="12" t="s">
        <v>169</v>
      </c>
      <c r="AB433" s="12">
        <v>55</v>
      </c>
      <c r="AC433" t="s">
        <v>148</v>
      </c>
      <c r="AD433" s="12" t="s">
        <v>170</v>
      </c>
      <c r="AE433" s="12" t="s">
        <v>205</v>
      </c>
      <c r="AF433" s="12" t="s">
        <v>171</v>
      </c>
      <c r="AG433" s="13" t="s">
        <v>172</v>
      </c>
      <c r="AH433" s="12" t="s">
        <v>173</v>
      </c>
      <c r="AI433" s="12" t="s">
        <v>206</v>
      </c>
      <c r="AJ433" s="12" t="s">
        <v>207</v>
      </c>
      <c r="AK433" s="12" t="s">
        <v>226</v>
      </c>
      <c r="AL433" s="12" t="s">
        <v>174</v>
      </c>
      <c r="AM433" s="12">
        <v>12.5</v>
      </c>
      <c r="AN433" t="s">
        <v>175</v>
      </c>
      <c r="AO433" s="12">
        <v>1</v>
      </c>
      <c r="AP433" t="s">
        <v>321</v>
      </c>
      <c r="AQ433" s="12" t="b">
        <v>0</v>
      </c>
      <c r="BR433" s="12" t="s">
        <v>155</v>
      </c>
      <c r="BV433" s="12" t="s">
        <v>179</v>
      </c>
      <c r="CF433" s="12" t="s">
        <v>187</v>
      </c>
      <c r="CS433" s="12" t="s">
        <v>181</v>
      </c>
      <c r="DA433" s="12">
        <v>1</v>
      </c>
      <c r="DB433" s="12">
        <v>2</v>
      </c>
      <c r="DN433" s="12" t="b">
        <v>0</v>
      </c>
      <c r="DQ433">
        <v>10</v>
      </c>
      <c r="DR433">
        <f t="shared" si="334"/>
        <v>0.5</v>
      </c>
      <c r="DS433" cm="1">
        <f t="array" ref="DS433">IF(AF433="&lt;0.2 ips",1,O.5)</f>
        <v>1</v>
      </c>
      <c r="DT433">
        <v>0.2</v>
      </c>
      <c r="DU433">
        <v>0.7</v>
      </c>
      <c r="DV433">
        <v>1</v>
      </c>
      <c r="DW433">
        <v>0.9</v>
      </c>
      <c r="DX433">
        <f t="shared" si="335"/>
        <v>0.7</v>
      </c>
      <c r="DY433">
        <f t="shared" si="336"/>
        <v>21869.86217379924</v>
      </c>
      <c r="DZ433">
        <f t="shared" si="337"/>
        <v>2.4965596088811917</v>
      </c>
      <c r="EA433">
        <f t="shared" si="338"/>
        <v>30</v>
      </c>
    </row>
    <row r="434" spans="1:131" hidden="1" x14ac:dyDescent="0.25">
      <c r="A434" t="s">
        <v>1045</v>
      </c>
      <c r="B434" t="s">
        <v>896</v>
      </c>
      <c r="C434" t="s">
        <v>897</v>
      </c>
      <c r="D434" t="s">
        <v>1046</v>
      </c>
      <c r="E434" t="s">
        <v>1047</v>
      </c>
      <c r="F434" t="s">
        <v>134</v>
      </c>
      <c r="G434" t="s">
        <v>135</v>
      </c>
      <c r="H434" t="s">
        <v>136</v>
      </c>
      <c r="I434" t="s">
        <v>135</v>
      </c>
      <c r="M434" t="s">
        <v>137</v>
      </c>
      <c r="N434" t="b">
        <v>0</v>
      </c>
      <c r="DB434" s="12">
        <v>1</v>
      </c>
      <c r="DV434">
        <f t="shared" ref="DV434:DV435" si="339">IF(AA436="Horizontal",1,0.5)</f>
        <v>1</v>
      </c>
    </row>
    <row r="435" spans="1:131" hidden="1" x14ac:dyDescent="0.25">
      <c r="A435" t="s">
        <v>1048</v>
      </c>
      <c r="B435" t="s">
        <v>896</v>
      </c>
      <c r="C435" t="s">
        <v>897</v>
      </c>
      <c r="D435" t="s">
        <v>1046</v>
      </c>
      <c r="E435" t="s">
        <v>1047</v>
      </c>
      <c r="F435" t="s">
        <v>139</v>
      </c>
      <c r="G435" t="s">
        <v>140</v>
      </c>
      <c r="H435" t="s">
        <v>141</v>
      </c>
      <c r="I435" t="s">
        <v>142</v>
      </c>
      <c r="M435" t="s">
        <v>137</v>
      </c>
      <c r="N435" t="b">
        <v>0</v>
      </c>
      <c r="Y435" s="12"/>
      <c r="AE435" s="12" t="s">
        <v>205</v>
      </c>
      <c r="AI435" s="12" t="s">
        <v>206</v>
      </c>
      <c r="AJ435" s="12" t="s">
        <v>207</v>
      </c>
      <c r="AK435" s="12" t="s">
        <v>226</v>
      </c>
      <c r="AR435" s="12" t="str">
        <f>HYPERLINK("https://www.google.com/search?q=","")</f>
        <v/>
      </c>
      <c r="AS435">
        <v>200</v>
      </c>
      <c r="AT435" t="s">
        <v>148</v>
      </c>
      <c r="AU435">
        <v>200</v>
      </c>
      <c r="AV435" t="s">
        <v>148</v>
      </c>
      <c r="AW435">
        <v>200</v>
      </c>
      <c r="AX435" t="s">
        <v>148</v>
      </c>
      <c r="AY435" s="12">
        <v>32</v>
      </c>
      <c r="AZ435" t="s">
        <v>149</v>
      </c>
      <c r="BF435" s="12" t="s">
        <v>780</v>
      </c>
      <c r="BH435" s="12" t="s">
        <v>151</v>
      </c>
      <c r="BI435" s="12" t="s">
        <v>926</v>
      </c>
      <c r="BL435" s="15" t="s">
        <v>339</v>
      </c>
      <c r="BN435" s="12" t="s">
        <v>154</v>
      </c>
      <c r="BP435" s="12" t="s">
        <v>155</v>
      </c>
      <c r="BT435" s="12" t="s">
        <v>196</v>
      </c>
      <c r="BV435" s="12" t="s">
        <v>157</v>
      </c>
      <c r="BY435" s="12" t="s">
        <v>155</v>
      </c>
      <c r="CA435" s="12" t="s">
        <v>158</v>
      </c>
      <c r="CD435" s="12">
        <v>100</v>
      </c>
      <c r="CE435" t="s">
        <v>148</v>
      </c>
      <c r="CH435" s="15" t="s">
        <v>339</v>
      </c>
      <c r="CU435" s="15" t="s">
        <v>339</v>
      </c>
      <c r="DC435" s="12" t="b">
        <v>0</v>
      </c>
      <c r="DD435" s="12" t="s">
        <v>219</v>
      </c>
      <c r="DG435" s="12" t="s">
        <v>196</v>
      </c>
      <c r="DV435">
        <f t="shared" si="339"/>
        <v>1</v>
      </c>
    </row>
    <row r="436" spans="1:131" hidden="1" x14ac:dyDescent="0.25">
      <c r="A436" t="s">
        <v>1049</v>
      </c>
      <c r="B436" t="s">
        <v>896</v>
      </c>
      <c r="C436" t="s">
        <v>897</v>
      </c>
      <c r="D436" t="s">
        <v>1046</v>
      </c>
      <c r="E436" t="s">
        <v>1047</v>
      </c>
      <c r="F436" t="s">
        <v>1037</v>
      </c>
      <c r="G436" t="s">
        <v>165</v>
      </c>
      <c r="H436" t="s">
        <v>202</v>
      </c>
      <c r="I436" t="s">
        <v>165</v>
      </c>
      <c r="M436" t="s">
        <v>137</v>
      </c>
      <c r="N436" t="b">
        <v>0</v>
      </c>
      <c r="P436" s="12" t="s">
        <v>967</v>
      </c>
      <c r="Q436" s="12" t="s">
        <v>967</v>
      </c>
      <c r="R436" s="12">
        <v>100</v>
      </c>
      <c r="S436" t="s">
        <v>148</v>
      </c>
      <c r="T436" s="12" t="s">
        <v>203</v>
      </c>
      <c r="U436" s="12">
        <v>25</v>
      </c>
      <c r="V436" t="s">
        <v>148</v>
      </c>
      <c r="Z436" s="12">
        <v>60</v>
      </c>
      <c r="AA436" s="12" t="s">
        <v>169</v>
      </c>
      <c r="AB436" s="12">
        <v>55</v>
      </c>
      <c r="AC436" t="s">
        <v>148</v>
      </c>
      <c r="AD436" s="12" t="s">
        <v>170</v>
      </c>
      <c r="AE436" s="12" t="s">
        <v>205</v>
      </c>
      <c r="AF436" s="12" t="s">
        <v>171</v>
      </c>
      <c r="AG436" s="13" t="s">
        <v>172</v>
      </c>
      <c r="AH436" s="12" t="s">
        <v>173</v>
      </c>
      <c r="AI436" s="12" t="s">
        <v>206</v>
      </c>
      <c r="AJ436" s="12" t="s">
        <v>207</v>
      </c>
      <c r="AK436" s="12" t="s">
        <v>226</v>
      </c>
      <c r="AL436" s="12" t="s">
        <v>174</v>
      </c>
      <c r="AM436" s="12">
        <v>12.5</v>
      </c>
      <c r="AN436" t="s">
        <v>175</v>
      </c>
      <c r="AO436" s="12">
        <v>1</v>
      </c>
      <c r="AP436" t="s">
        <v>321</v>
      </c>
      <c r="AQ436" s="12" t="b">
        <v>0</v>
      </c>
      <c r="BR436" s="12" t="s">
        <v>155</v>
      </c>
      <c r="BV436" s="12" t="s">
        <v>179</v>
      </c>
      <c r="CF436" s="12" t="s">
        <v>187</v>
      </c>
      <c r="CS436" s="12" t="s">
        <v>181</v>
      </c>
      <c r="DA436" s="12">
        <v>1</v>
      </c>
      <c r="DB436" s="12">
        <v>2</v>
      </c>
      <c r="DN436" s="12" t="b">
        <v>0</v>
      </c>
      <c r="DQ436">
        <v>10</v>
      </c>
      <c r="DR436">
        <f t="shared" ref="DR436:DR437" si="340">IF(AE436="125°F (51.7°C) - 150°F (65.6°C)",1,0.5)</f>
        <v>0.5</v>
      </c>
      <c r="DS436" cm="1">
        <f t="array" ref="DS436">IF(AF436="&lt;0.2 ips",1,O.5)</f>
        <v>1</v>
      </c>
      <c r="DT436">
        <v>0.2</v>
      </c>
      <c r="DU436">
        <v>0.7</v>
      </c>
      <c r="DV436">
        <v>1</v>
      </c>
      <c r="DW436">
        <v>0.9</v>
      </c>
      <c r="DX436">
        <f t="shared" ref="DX436:DX437" si="341">PRODUCT(DQ436:DV436)</f>
        <v>0.7</v>
      </c>
      <c r="DY436">
        <f t="shared" ref="DY436:DY437" si="342">+DX436*((14000000/(Z436*AB436^0.5))-4*AB436)</f>
        <v>21869.86217379924</v>
      </c>
      <c r="DZ436">
        <f t="shared" ref="DZ436:DZ437" si="343">+DY436/8760</f>
        <v>2.4965596088811917</v>
      </c>
      <c r="EA436">
        <f t="shared" ref="EA436:EA437" si="344">ROUND(+DZ436*12,1)</f>
        <v>30</v>
      </c>
    </row>
    <row r="437" spans="1:131" hidden="1" x14ac:dyDescent="0.25">
      <c r="A437" t="s">
        <v>1050</v>
      </c>
      <c r="B437" t="s">
        <v>896</v>
      </c>
      <c r="C437" t="s">
        <v>897</v>
      </c>
      <c r="D437" t="s">
        <v>1046</v>
      </c>
      <c r="E437" t="s">
        <v>1047</v>
      </c>
      <c r="F437" t="s">
        <v>1037</v>
      </c>
      <c r="G437" t="s">
        <v>165</v>
      </c>
      <c r="H437" t="s">
        <v>212</v>
      </c>
      <c r="I437" t="s">
        <v>165</v>
      </c>
      <c r="M437" t="s">
        <v>137</v>
      </c>
      <c r="N437" t="b">
        <v>0</v>
      </c>
      <c r="P437" s="12" t="s">
        <v>967</v>
      </c>
      <c r="Q437" s="12" t="s">
        <v>967</v>
      </c>
      <c r="R437" s="12">
        <v>100</v>
      </c>
      <c r="S437" t="s">
        <v>148</v>
      </c>
      <c r="T437" s="12" t="s">
        <v>203</v>
      </c>
      <c r="U437" s="12">
        <v>25</v>
      </c>
      <c r="V437" t="s">
        <v>148</v>
      </c>
      <c r="Z437" s="12">
        <v>60</v>
      </c>
      <c r="AA437" s="12" t="s">
        <v>169</v>
      </c>
      <c r="AB437" s="12">
        <v>55</v>
      </c>
      <c r="AC437" t="s">
        <v>148</v>
      </c>
      <c r="AD437" s="12" t="s">
        <v>170</v>
      </c>
      <c r="AE437" s="12" t="s">
        <v>205</v>
      </c>
      <c r="AF437" s="12" t="s">
        <v>171</v>
      </c>
      <c r="AG437" s="13" t="s">
        <v>172</v>
      </c>
      <c r="AH437" s="12" t="s">
        <v>173</v>
      </c>
      <c r="AI437" s="12" t="s">
        <v>206</v>
      </c>
      <c r="AJ437" s="12" t="s">
        <v>207</v>
      </c>
      <c r="AK437" s="12" t="s">
        <v>226</v>
      </c>
      <c r="AL437" s="12" t="s">
        <v>174</v>
      </c>
      <c r="AM437" s="12">
        <v>12.5</v>
      </c>
      <c r="AN437" t="s">
        <v>175</v>
      </c>
      <c r="AO437" s="12">
        <v>1</v>
      </c>
      <c r="AP437" t="s">
        <v>321</v>
      </c>
      <c r="AQ437" s="12" t="b">
        <v>0</v>
      </c>
      <c r="BR437" s="12" t="s">
        <v>155</v>
      </c>
      <c r="BV437" s="12" t="s">
        <v>179</v>
      </c>
      <c r="CF437" s="12" t="s">
        <v>187</v>
      </c>
      <c r="CS437" s="12" t="s">
        <v>181</v>
      </c>
      <c r="DA437" s="12">
        <v>1</v>
      </c>
      <c r="DB437" s="12">
        <v>2</v>
      </c>
      <c r="DN437" s="12" t="b">
        <v>0</v>
      </c>
      <c r="DQ437">
        <v>10</v>
      </c>
      <c r="DR437">
        <f t="shared" si="340"/>
        <v>0.5</v>
      </c>
      <c r="DS437" cm="1">
        <f t="array" ref="DS437">IF(AF437="&lt;0.2 ips",1,O.5)</f>
        <v>1</v>
      </c>
      <c r="DT437">
        <v>0.2</v>
      </c>
      <c r="DU437">
        <v>0.7</v>
      </c>
      <c r="DV437">
        <v>1</v>
      </c>
      <c r="DW437">
        <v>0.9</v>
      </c>
      <c r="DX437">
        <f t="shared" si="341"/>
        <v>0.7</v>
      </c>
      <c r="DY437">
        <f t="shared" si="342"/>
        <v>21869.86217379924</v>
      </c>
      <c r="DZ437">
        <f t="shared" si="343"/>
        <v>2.4965596088811917</v>
      </c>
      <c r="EA437">
        <f t="shared" si="344"/>
        <v>30</v>
      </c>
    </row>
    <row r="438" spans="1:131" hidden="1" x14ac:dyDescent="0.25">
      <c r="A438" t="s">
        <v>1051</v>
      </c>
      <c r="B438" t="s">
        <v>1052</v>
      </c>
      <c r="C438" t="s">
        <v>1053</v>
      </c>
      <c r="D438" t="s">
        <v>1054</v>
      </c>
      <c r="E438" t="s">
        <v>1055</v>
      </c>
      <c r="F438" t="s">
        <v>736</v>
      </c>
      <c r="G438" t="s">
        <v>1056</v>
      </c>
      <c r="H438" t="s">
        <v>1057</v>
      </c>
      <c r="I438" t="s">
        <v>1056</v>
      </c>
      <c r="M438" t="s">
        <v>137</v>
      </c>
      <c r="N438" t="b">
        <v>0</v>
      </c>
      <c r="P438" s="12"/>
      <c r="Q438" s="12"/>
      <c r="T438" s="12" t="s">
        <v>203</v>
      </c>
      <c r="Z438" s="12">
        <v>1500</v>
      </c>
      <c r="AE438" s="12" t="s">
        <v>205</v>
      </c>
      <c r="AI438" s="12" t="s">
        <v>206</v>
      </c>
      <c r="AJ438" s="12" t="s">
        <v>207</v>
      </c>
      <c r="AK438" s="12" t="s">
        <v>1058</v>
      </c>
      <c r="AR438" s="12" t="str">
        <f>HYPERLINK("https://www.google.com/search?q=Worthington","Worthington")</f>
        <v>Worthington</v>
      </c>
      <c r="AY438" s="12">
        <v>0.5</v>
      </c>
      <c r="AZ438" t="s">
        <v>149</v>
      </c>
      <c r="BL438" s="15" t="s">
        <v>907</v>
      </c>
      <c r="BM438" s="12" t="b">
        <v>0</v>
      </c>
      <c r="BN438" s="12" t="s">
        <v>902</v>
      </c>
      <c r="BP438" s="12" t="s">
        <v>155</v>
      </c>
      <c r="BT438" s="12" t="s">
        <v>156</v>
      </c>
      <c r="BV438" s="12" t="s">
        <v>1059</v>
      </c>
      <c r="BY438" s="12" t="s">
        <v>155</v>
      </c>
      <c r="CA438" s="12" t="s">
        <v>158</v>
      </c>
      <c r="CH438" s="15" t="s">
        <v>907</v>
      </c>
      <c r="CU438" s="12" t="s">
        <v>333</v>
      </c>
      <c r="DC438" s="12" t="b">
        <v>1</v>
      </c>
      <c r="DD438" s="12" t="s">
        <v>219</v>
      </c>
      <c r="DG438" s="12" t="s">
        <v>1030</v>
      </c>
      <c r="DV438">
        <f t="shared" ref="DV438:DV439" si="345">IF(AA440="Horizontal",1,0.5)</f>
        <v>1</v>
      </c>
    </row>
    <row r="439" spans="1:131" hidden="1" x14ac:dyDescent="0.25">
      <c r="A439" t="s">
        <v>1060</v>
      </c>
      <c r="B439" t="s">
        <v>1052</v>
      </c>
      <c r="C439" t="s">
        <v>1053</v>
      </c>
      <c r="D439" t="s">
        <v>1054</v>
      </c>
      <c r="E439" t="s">
        <v>1055</v>
      </c>
      <c r="F439" t="s">
        <v>736</v>
      </c>
      <c r="G439" t="s">
        <v>1056</v>
      </c>
      <c r="H439" t="s">
        <v>1061</v>
      </c>
      <c r="I439" t="s">
        <v>1056</v>
      </c>
      <c r="M439" t="s">
        <v>137</v>
      </c>
      <c r="N439" t="b">
        <v>0</v>
      </c>
      <c r="P439" s="12"/>
      <c r="Q439" s="12"/>
      <c r="T439" s="12" t="s">
        <v>203</v>
      </c>
      <c r="Z439" s="12">
        <v>1500</v>
      </c>
      <c r="AE439" s="12" t="s">
        <v>205</v>
      </c>
      <c r="AI439" s="12" t="s">
        <v>206</v>
      </c>
      <c r="AJ439" s="12" t="s">
        <v>207</v>
      </c>
      <c r="AK439" s="12" t="s">
        <v>1058</v>
      </c>
      <c r="AR439" s="12" t="str">
        <f>HYPERLINK("https://www.google.com/search?q=Worthington","Worthington")</f>
        <v>Worthington</v>
      </c>
      <c r="AY439" s="12">
        <v>0.5</v>
      </c>
      <c r="AZ439" t="s">
        <v>149</v>
      </c>
      <c r="BL439" s="15" t="s">
        <v>907</v>
      </c>
      <c r="BM439" s="12" t="b">
        <v>0</v>
      </c>
      <c r="BN439" s="12" t="s">
        <v>902</v>
      </c>
      <c r="BP439" s="12" t="s">
        <v>155</v>
      </c>
      <c r="BT439" s="12" t="s">
        <v>156</v>
      </c>
      <c r="BV439" s="12" t="s">
        <v>1059</v>
      </c>
      <c r="BY439" s="12" t="s">
        <v>155</v>
      </c>
      <c r="CA439" s="12" t="s">
        <v>158</v>
      </c>
      <c r="CH439" s="15" t="s">
        <v>907</v>
      </c>
      <c r="CU439" s="12" t="s">
        <v>333</v>
      </c>
      <c r="DC439" s="12" t="b">
        <v>1</v>
      </c>
      <c r="DD439" s="12" t="s">
        <v>219</v>
      </c>
      <c r="DG439" s="12" t="s">
        <v>1030</v>
      </c>
      <c r="DV439">
        <f t="shared" si="345"/>
        <v>1</v>
      </c>
    </row>
    <row r="440" spans="1:131" hidden="1" x14ac:dyDescent="0.25">
      <c r="A440" t="s">
        <v>1062</v>
      </c>
      <c r="B440" t="s">
        <v>1052</v>
      </c>
      <c r="C440" t="s">
        <v>1053</v>
      </c>
      <c r="D440" t="s">
        <v>1054</v>
      </c>
      <c r="E440" t="s">
        <v>1055</v>
      </c>
      <c r="F440" t="s">
        <v>134</v>
      </c>
      <c r="G440" t="s">
        <v>135</v>
      </c>
      <c r="H440" t="s">
        <v>202</v>
      </c>
      <c r="I440" t="s">
        <v>201</v>
      </c>
      <c r="M440" t="s">
        <v>137</v>
      </c>
      <c r="N440" t="b">
        <v>0</v>
      </c>
      <c r="P440" s="12"/>
      <c r="Q440" s="12"/>
      <c r="T440" t="s">
        <v>203</v>
      </c>
      <c r="X440" s="12" t="s">
        <v>262</v>
      </c>
      <c r="Y440" s="12">
        <v>110</v>
      </c>
      <c r="Z440" s="12">
        <v>1500</v>
      </c>
      <c r="AA440" s="12" t="s">
        <v>169</v>
      </c>
      <c r="AB440">
        <v>90</v>
      </c>
      <c r="AC440" t="s">
        <v>148</v>
      </c>
      <c r="AE440" s="12" t="s">
        <v>205</v>
      </c>
      <c r="AF440" s="12" t="s">
        <v>171</v>
      </c>
      <c r="AI440" s="12" t="s">
        <v>206</v>
      </c>
      <c r="AJ440" s="12" t="s">
        <v>207</v>
      </c>
      <c r="AK440" s="12" t="s">
        <v>1058</v>
      </c>
      <c r="AL440" s="12" t="s">
        <v>174</v>
      </c>
      <c r="AM440" s="12">
        <v>35</v>
      </c>
      <c r="AN440" t="s">
        <v>175</v>
      </c>
      <c r="AO440" s="12"/>
      <c r="AP440" t="s">
        <v>176</v>
      </c>
      <c r="AQ440" s="12" t="b">
        <v>1</v>
      </c>
      <c r="AR440" s="12" t="str">
        <f>HYPERLINK("https://www.google.com/search?q=","")</f>
        <v/>
      </c>
      <c r="BR440" s="12" t="s">
        <v>155</v>
      </c>
      <c r="BV440" s="12" t="s">
        <v>210</v>
      </c>
      <c r="CF440" s="12" t="s">
        <v>180</v>
      </c>
      <c r="CS440" s="12" t="s">
        <v>181</v>
      </c>
      <c r="DA440" s="12">
        <v>2</v>
      </c>
      <c r="DN440" s="12" t="b">
        <v>0</v>
      </c>
      <c r="DQ440">
        <f t="shared" ref="DQ440:DQ441" si="346">IF(T440="Ball",10,0)</f>
        <v>10</v>
      </c>
      <c r="DR440">
        <f t="shared" ref="DR440:DR441" si="347">IF(AE440="125°F (51.7°C) - 150°F (65.6°C)",1,0.5)</f>
        <v>0.5</v>
      </c>
      <c r="DS440" cm="1">
        <f t="array" ref="DS440">IF(AF440="&lt;0.2 ips",1,O.5)</f>
        <v>1</v>
      </c>
      <c r="DT440">
        <v>0.2</v>
      </c>
      <c r="DU440">
        <v>0.2</v>
      </c>
      <c r="DV440">
        <v>1</v>
      </c>
      <c r="DW440">
        <v>0.9</v>
      </c>
      <c r="DX440">
        <f t="shared" ref="DX440:DX441" si="348">PRODUCT(DQ440:DV440)</f>
        <v>0.2</v>
      </c>
      <c r="DY440">
        <f t="shared" ref="DY440:DY441" si="349">+DX440*((14000000/(Z440*AB440^0.5))-4*AB440)</f>
        <v>124.76394329936582</v>
      </c>
      <c r="DZ440">
        <f t="shared" ref="DZ440:DZ441" si="350">+DY440/8760</f>
        <v>1.4242459280749523E-2</v>
      </c>
      <c r="EA440">
        <f t="shared" ref="EA440:EA441" si="351">ROUND(+DZ440*12,1)</f>
        <v>0.2</v>
      </c>
    </row>
    <row r="441" spans="1:131" hidden="1" x14ac:dyDescent="0.25">
      <c r="A441" t="s">
        <v>1063</v>
      </c>
      <c r="B441" t="s">
        <v>1052</v>
      </c>
      <c r="C441" t="s">
        <v>1053</v>
      </c>
      <c r="D441" t="s">
        <v>1054</v>
      </c>
      <c r="E441" t="s">
        <v>1055</v>
      </c>
      <c r="F441" t="s">
        <v>134</v>
      </c>
      <c r="G441" t="s">
        <v>135</v>
      </c>
      <c r="H441" t="s">
        <v>212</v>
      </c>
      <c r="I441" t="s">
        <v>201</v>
      </c>
      <c r="M441" t="s">
        <v>137</v>
      </c>
      <c r="N441" t="b">
        <v>0</v>
      </c>
      <c r="P441" s="12"/>
      <c r="Q441" s="12"/>
      <c r="T441" t="s">
        <v>203</v>
      </c>
      <c r="X441" s="12" t="s">
        <v>262</v>
      </c>
      <c r="Y441" s="12">
        <v>110</v>
      </c>
      <c r="Z441" s="12">
        <v>1500</v>
      </c>
      <c r="AA441" s="12" t="s">
        <v>169</v>
      </c>
      <c r="AB441">
        <v>90</v>
      </c>
      <c r="AC441" t="s">
        <v>148</v>
      </c>
      <c r="AE441" s="12" t="s">
        <v>205</v>
      </c>
      <c r="AF441" s="12" t="s">
        <v>171</v>
      </c>
      <c r="AI441" s="12" t="s">
        <v>206</v>
      </c>
      <c r="AJ441" s="12" t="s">
        <v>207</v>
      </c>
      <c r="AK441" s="12" t="s">
        <v>1058</v>
      </c>
      <c r="AL441" s="12" t="s">
        <v>174</v>
      </c>
      <c r="AM441" s="12">
        <v>35</v>
      </c>
      <c r="AN441" t="s">
        <v>175</v>
      </c>
      <c r="AO441" s="12"/>
      <c r="AP441" t="s">
        <v>176</v>
      </c>
      <c r="AQ441" s="12" t="b">
        <v>1</v>
      </c>
      <c r="AR441" s="12" t="str">
        <f>HYPERLINK("https://www.google.com/search?q=","")</f>
        <v/>
      </c>
      <c r="BR441" s="12" t="s">
        <v>155</v>
      </c>
      <c r="BV441" s="12" t="s">
        <v>210</v>
      </c>
      <c r="CF441" s="12" t="s">
        <v>180</v>
      </c>
      <c r="CS441" s="12" t="s">
        <v>181</v>
      </c>
      <c r="DA441" s="12">
        <v>2</v>
      </c>
      <c r="DN441" s="12" t="b">
        <v>0</v>
      </c>
      <c r="DQ441">
        <f t="shared" si="346"/>
        <v>10</v>
      </c>
      <c r="DR441">
        <f t="shared" si="347"/>
        <v>0.5</v>
      </c>
      <c r="DS441" cm="1">
        <f t="array" ref="DS441">IF(AF441="&lt;0.2 ips",1,O.5)</f>
        <v>1</v>
      </c>
      <c r="DT441">
        <v>0.2</v>
      </c>
      <c r="DU441">
        <v>0.2</v>
      </c>
      <c r="DV441">
        <v>1</v>
      </c>
      <c r="DW441">
        <v>0.9</v>
      </c>
      <c r="DX441">
        <f t="shared" si="348"/>
        <v>0.2</v>
      </c>
      <c r="DY441">
        <f t="shared" si="349"/>
        <v>124.76394329936582</v>
      </c>
      <c r="DZ441">
        <f t="shared" si="350"/>
        <v>1.4242459280749523E-2</v>
      </c>
      <c r="EA441">
        <f t="shared" si="351"/>
        <v>0.2</v>
      </c>
    </row>
    <row r="442" spans="1:131" hidden="1" x14ac:dyDescent="0.25">
      <c r="A442" t="s">
        <v>1064</v>
      </c>
      <c r="B442" t="s">
        <v>1052</v>
      </c>
      <c r="C442" t="s">
        <v>1053</v>
      </c>
      <c r="D442" t="s">
        <v>1065</v>
      </c>
      <c r="E442" t="s">
        <v>1066</v>
      </c>
      <c r="F442" t="s">
        <v>736</v>
      </c>
      <c r="G442" t="s">
        <v>1056</v>
      </c>
      <c r="H442" t="s">
        <v>1057</v>
      </c>
      <c r="I442" t="s">
        <v>1056</v>
      </c>
      <c r="M442" t="s">
        <v>137</v>
      </c>
      <c r="N442" t="b">
        <v>0</v>
      </c>
      <c r="P442" s="12"/>
      <c r="Q442" s="12"/>
      <c r="T442" s="12" t="s">
        <v>203</v>
      </c>
      <c r="Z442" s="12">
        <v>1500</v>
      </c>
      <c r="AE442" s="12" t="s">
        <v>205</v>
      </c>
      <c r="AI442" s="12" t="s">
        <v>206</v>
      </c>
      <c r="AJ442" s="12" t="s">
        <v>207</v>
      </c>
      <c r="AK442" s="12" t="s">
        <v>1058</v>
      </c>
      <c r="AR442" s="12" t="str">
        <f>HYPERLINK("https://www.google.com/search?q=Worthington","Worthington")</f>
        <v>Worthington</v>
      </c>
      <c r="AY442" s="12">
        <v>0.5</v>
      </c>
      <c r="AZ442" t="s">
        <v>149</v>
      </c>
      <c r="BL442" s="15" t="s">
        <v>907</v>
      </c>
      <c r="BM442" s="12" t="b">
        <v>0</v>
      </c>
      <c r="BN442" s="12" t="s">
        <v>902</v>
      </c>
      <c r="BP442" s="12" t="s">
        <v>155</v>
      </c>
      <c r="BT442" s="12" t="s">
        <v>156</v>
      </c>
      <c r="BV442" s="12" t="s">
        <v>1059</v>
      </c>
      <c r="BY442" s="12" t="s">
        <v>155</v>
      </c>
      <c r="CA442" s="12" t="s">
        <v>158</v>
      </c>
      <c r="CH442" s="15" t="s">
        <v>907</v>
      </c>
      <c r="CU442" s="12" t="s">
        <v>333</v>
      </c>
      <c r="DC442" s="12" t="b">
        <v>1</v>
      </c>
      <c r="DD442" s="12" t="s">
        <v>219</v>
      </c>
      <c r="DG442" s="12" t="s">
        <v>1030</v>
      </c>
      <c r="DV442">
        <f t="shared" ref="DV442:DV443" si="352">IF(AA444="Horizontal",1,0.5)</f>
        <v>1</v>
      </c>
    </row>
    <row r="443" spans="1:131" hidden="1" x14ac:dyDescent="0.25">
      <c r="A443" t="s">
        <v>1067</v>
      </c>
      <c r="B443" t="s">
        <v>1052</v>
      </c>
      <c r="C443" t="s">
        <v>1053</v>
      </c>
      <c r="D443" t="s">
        <v>1065</v>
      </c>
      <c r="E443" t="s">
        <v>1066</v>
      </c>
      <c r="F443" t="s">
        <v>736</v>
      </c>
      <c r="G443" t="s">
        <v>1056</v>
      </c>
      <c r="H443" t="s">
        <v>1061</v>
      </c>
      <c r="I443" t="s">
        <v>1056</v>
      </c>
      <c r="M443" t="s">
        <v>137</v>
      </c>
      <c r="N443" t="b">
        <v>0</v>
      </c>
      <c r="P443" s="12"/>
      <c r="Q443" s="12"/>
      <c r="T443" s="12" t="s">
        <v>203</v>
      </c>
      <c r="Z443" s="12">
        <v>1500</v>
      </c>
      <c r="AE443" s="12" t="s">
        <v>205</v>
      </c>
      <c r="AI443" s="12" t="s">
        <v>206</v>
      </c>
      <c r="AJ443" s="12" t="s">
        <v>207</v>
      </c>
      <c r="AK443" s="12" t="s">
        <v>1058</v>
      </c>
      <c r="AR443" s="12" t="str">
        <f>HYPERLINK("https://www.google.com/search?q=Worthington","Worthington")</f>
        <v>Worthington</v>
      </c>
      <c r="AY443" s="12">
        <v>0.5</v>
      </c>
      <c r="AZ443" t="s">
        <v>149</v>
      </c>
      <c r="BL443" s="15" t="s">
        <v>907</v>
      </c>
      <c r="BM443" s="12" t="b">
        <v>0</v>
      </c>
      <c r="BN443" s="12" t="s">
        <v>902</v>
      </c>
      <c r="BP443" s="12" t="s">
        <v>155</v>
      </c>
      <c r="BT443" s="12" t="s">
        <v>156</v>
      </c>
      <c r="BV443" s="12" t="s">
        <v>1059</v>
      </c>
      <c r="BY443" s="12" t="s">
        <v>155</v>
      </c>
      <c r="CA443" s="12" t="s">
        <v>158</v>
      </c>
      <c r="CH443" s="15" t="s">
        <v>907</v>
      </c>
      <c r="CU443" s="12" t="s">
        <v>333</v>
      </c>
      <c r="DC443" s="12" t="b">
        <v>1</v>
      </c>
      <c r="DD443" s="12" t="s">
        <v>219</v>
      </c>
      <c r="DG443" s="12" t="s">
        <v>1030</v>
      </c>
      <c r="DV443">
        <f t="shared" si="352"/>
        <v>1</v>
      </c>
    </row>
    <row r="444" spans="1:131" hidden="1" x14ac:dyDescent="0.25">
      <c r="A444" t="s">
        <v>1068</v>
      </c>
      <c r="B444" t="s">
        <v>1052</v>
      </c>
      <c r="C444" t="s">
        <v>1053</v>
      </c>
      <c r="D444" t="s">
        <v>1065</v>
      </c>
      <c r="E444" t="s">
        <v>1066</v>
      </c>
      <c r="F444" t="s">
        <v>134</v>
      </c>
      <c r="G444" t="s">
        <v>135</v>
      </c>
      <c r="H444" t="s">
        <v>202</v>
      </c>
      <c r="I444" t="s">
        <v>201</v>
      </c>
      <c r="M444" t="s">
        <v>137</v>
      </c>
      <c r="N444" t="b">
        <v>0</v>
      </c>
      <c r="P444" s="12"/>
      <c r="Q444" s="12"/>
      <c r="T444" t="s">
        <v>203</v>
      </c>
      <c r="X444" s="12" t="s">
        <v>262</v>
      </c>
      <c r="Y444" s="12">
        <v>110</v>
      </c>
      <c r="Z444" s="12">
        <v>1500</v>
      </c>
      <c r="AA444" s="12" t="s">
        <v>169</v>
      </c>
      <c r="AB444">
        <v>90</v>
      </c>
      <c r="AC444" t="s">
        <v>148</v>
      </c>
      <c r="AE444" s="12" t="s">
        <v>205</v>
      </c>
      <c r="AF444" s="12" t="s">
        <v>171</v>
      </c>
      <c r="AI444" s="12" t="s">
        <v>206</v>
      </c>
      <c r="AJ444" s="12" t="s">
        <v>207</v>
      </c>
      <c r="AK444" s="12" t="s">
        <v>1058</v>
      </c>
      <c r="AL444" s="12" t="s">
        <v>174</v>
      </c>
      <c r="AM444" s="12">
        <v>35</v>
      </c>
      <c r="AN444" t="s">
        <v>175</v>
      </c>
      <c r="AO444" s="12"/>
      <c r="AP444" t="s">
        <v>176</v>
      </c>
      <c r="AQ444" s="12" t="b">
        <v>1</v>
      </c>
      <c r="AR444" s="12" t="str">
        <f>HYPERLINK("https://www.google.com/search?q=","")</f>
        <v/>
      </c>
      <c r="BR444" s="12" t="s">
        <v>155</v>
      </c>
      <c r="BV444" s="12" t="s">
        <v>210</v>
      </c>
      <c r="CF444" s="12" t="s">
        <v>180</v>
      </c>
      <c r="CS444" s="12" t="s">
        <v>181</v>
      </c>
      <c r="DA444" s="12">
        <v>2</v>
      </c>
      <c r="DN444" s="12" t="b">
        <v>0</v>
      </c>
      <c r="DQ444">
        <f t="shared" ref="DQ444:DQ445" si="353">IF(T444="Ball",10,0)</f>
        <v>10</v>
      </c>
      <c r="DR444">
        <f t="shared" ref="DR444:DR445" si="354">IF(AE444="125°F (51.7°C) - 150°F (65.6°C)",1,0.5)</f>
        <v>0.5</v>
      </c>
      <c r="DS444" cm="1">
        <f t="array" ref="DS444">IF(AF444="&lt;0.2 ips",1,O.5)</f>
        <v>1</v>
      </c>
      <c r="DT444">
        <v>0.2</v>
      </c>
      <c r="DU444">
        <v>0.2</v>
      </c>
      <c r="DV444">
        <v>1</v>
      </c>
      <c r="DW444">
        <v>0.9</v>
      </c>
      <c r="DX444">
        <f t="shared" ref="DX444:DX445" si="355">PRODUCT(DQ444:DV444)</f>
        <v>0.2</v>
      </c>
      <c r="DY444">
        <f t="shared" ref="DY444:DY445" si="356">+DX444*((14000000/(Z444*AB444^0.5))-4*AB444)</f>
        <v>124.76394329936582</v>
      </c>
      <c r="DZ444">
        <f t="shared" ref="DZ444:DZ445" si="357">+DY444/8760</f>
        <v>1.4242459280749523E-2</v>
      </c>
      <c r="EA444">
        <f t="shared" ref="EA444:EA445" si="358">ROUND(+DZ444*12,1)</f>
        <v>0.2</v>
      </c>
    </row>
    <row r="445" spans="1:131" hidden="1" x14ac:dyDescent="0.25">
      <c r="A445" t="s">
        <v>1069</v>
      </c>
      <c r="B445" t="s">
        <v>1052</v>
      </c>
      <c r="C445" t="s">
        <v>1053</v>
      </c>
      <c r="D445" t="s">
        <v>1065</v>
      </c>
      <c r="E445" t="s">
        <v>1066</v>
      </c>
      <c r="F445" t="s">
        <v>134</v>
      </c>
      <c r="G445" t="s">
        <v>135</v>
      </c>
      <c r="H445" t="s">
        <v>212</v>
      </c>
      <c r="I445" t="s">
        <v>201</v>
      </c>
      <c r="M445" t="s">
        <v>137</v>
      </c>
      <c r="N445" t="b">
        <v>0</v>
      </c>
      <c r="P445" s="12"/>
      <c r="Q445" s="12"/>
      <c r="T445" t="s">
        <v>203</v>
      </c>
      <c r="X445" s="12" t="s">
        <v>262</v>
      </c>
      <c r="Y445" s="12">
        <v>110</v>
      </c>
      <c r="Z445" s="12">
        <v>1500</v>
      </c>
      <c r="AA445" s="12" t="s">
        <v>169</v>
      </c>
      <c r="AB445">
        <v>90</v>
      </c>
      <c r="AC445" t="s">
        <v>148</v>
      </c>
      <c r="AE445" s="12" t="s">
        <v>205</v>
      </c>
      <c r="AF445" s="12" t="s">
        <v>171</v>
      </c>
      <c r="AI445" s="12" t="s">
        <v>206</v>
      </c>
      <c r="AJ445" s="12" t="s">
        <v>207</v>
      </c>
      <c r="AK445" s="12" t="s">
        <v>1058</v>
      </c>
      <c r="AL445" s="12" t="s">
        <v>174</v>
      </c>
      <c r="AM445" s="12">
        <v>35</v>
      </c>
      <c r="AN445" t="s">
        <v>175</v>
      </c>
      <c r="AO445" s="12"/>
      <c r="AP445" t="s">
        <v>176</v>
      </c>
      <c r="AQ445" s="12" t="b">
        <v>1</v>
      </c>
      <c r="AR445" s="12" t="str">
        <f>HYPERLINK("https://www.google.com/search?q=","")</f>
        <v/>
      </c>
      <c r="BR445" s="12" t="s">
        <v>155</v>
      </c>
      <c r="BV445" s="12" t="s">
        <v>210</v>
      </c>
      <c r="CF445" s="12" t="s">
        <v>180</v>
      </c>
      <c r="CS445" s="12" t="s">
        <v>181</v>
      </c>
      <c r="DA445" s="12">
        <v>2</v>
      </c>
      <c r="DN445" s="12" t="b">
        <v>0</v>
      </c>
      <c r="DQ445">
        <f t="shared" si="353"/>
        <v>10</v>
      </c>
      <c r="DR445">
        <f t="shared" si="354"/>
        <v>0.5</v>
      </c>
      <c r="DS445" cm="1">
        <f t="array" ref="DS445">IF(AF445="&lt;0.2 ips",1,O.5)</f>
        <v>1</v>
      </c>
      <c r="DT445">
        <v>0.2</v>
      </c>
      <c r="DU445">
        <v>0.2</v>
      </c>
      <c r="DV445">
        <v>1</v>
      </c>
      <c r="DW445">
        <v>0.9</v>
      </c>
      <c r="DX445">
        <f t="shared" si="355"/>
        <v>0.2</v>
      </c>
      <c r="DY445">
        <f t="shared" si="356"/>
        <v>124.76394329936582</v>
      </c>
      <c r="DZ445">
        <f t="shared" si="357"/>
        <v>1.4242459280749523E-2</v>
      </c>
      <c r="EA445">
        <f t="shared" si="358"/>
        <v>0.2</v>
      </c>
    </row>
    <row r="446" spans="1:131" x14ac:dyDescent="0.25">
      <c r="A446" t="s">
        <v>1073</v>
      </c>
      <c r="B446" t="s">
        <v>1071</v>
      </c>
      <c r="C446" t="s">
        <v>1072</v>
      </c>
      <c r="D446" t="s">
        <v>1074</v>
      </c>
      <c r="E446" t="s">
        <v>1075</v>
      </c>
      <c r="F446" t="s">
        <v>1076</v>
      </c>
      <c r="G446" t="s">
        <v>618</v>
      </c>
      <c r="H446" t="s">
        <v>141</v>
      </c>
      <c r="I446" t="s">
        <v>1070</v>
      </c>
      <c r="M446" t="s">
        <v>137</v>
      </c>
      <c r="N446" t="b">
        <v>0</v>
      </c>
      <c r="Y446" s="12"/>
      <c r="AE446" s="12" t="s">
        <v>144</v>
      </c>
      <c r="AI446" s="12" t="s">
        <v>206</v>
      </c>
      <c r="AJ446" s="12" t="s">
        <v>146</v>
      </c>
      <c r="AK446" s="12" t="s">
        <v>901</v>
      </c>
      <c r="AR446" s="12" t="str">
        <f>HYPERLINK("https://www.google.com/search?q=Geho","Geho")</f>
        <v>Geho</v>
      </c>
      <c r="BN446" s="12" t="s">
        <v>902</v>
      </c>
      <c r="CA446" s="12" t="s">
        <v>218</v>
      </c>
      <c r="DV446" t="e">
        <f>IF(#REF!="Horizontal",1,0.5)</f>
        <v>#REF!</v>
      </c>
    </row>
    <row r="447" spans="1:131" x14ac:dyDescent="0.25">
      <c r="A447" t="s">
        <v>1082</v>
      </c>
      <c r="B447" t="s">
        <v>1077</v>
      </c>
      <c r="C447" t="s">
        <v>1078</v>
      </c>
      <c r="D447" t="s">
        <v>1080</v>
      </c>
      <c r="E447" t="s">
        <v>1081</v>
      </c>
      <c r="F447" t="s">
        <v>1083</v>
      </c>
      <c r="G447" t="s">
        <v>618</v>
      </c>
      <c r="H447" t="s">
        <v>141</v>
      </c>
      <c r="I447" t="s">
        <v>1070</v>
      </c>
      <c r="M447" t="s">
        <v>137</v>
      </c>
      <c r="N447" t="b">
        <v>0</v>
      </c>
      <c r="Y447" s="12">
        <v>816</v>
      </c>
      <c r="AE447" s="12" t="s">
        <v>205</v>
      </c>
      <c r="AI447" s="12" t="s">
        <v>206</v>
      </c>
      <c r="AJ447" s="12" t="s">
        <v>146</v>
      </c>
      <c r="AK447" s="12" t="s">
        <v>1079</v>
      </c>
      <c r="AR447" s="12" t="str">
        <f>HYPERLINK("https://www.google.com/search?q=GAMESA NHB-250","GAMESA NHB-250")</f>
        <v>GAMESA NHB-250</v>
      </c>
      <c r="BN447" s="12" t="s">
        <v>902</v>
      </c>
      <c r="CA447" s="12" t="s">
        <v>218</v>
      </c>
      <c r="DD447" t="s">
        <v>160</v>
      </c>
      <c r="DL447" t="s">
        <v>629</v>
      </c>
      <c r="DV447" t="e">
        <f>IF(#REF!="Horizontal",1,0.5)</f>
        <v>#REF!</v>
      </c>
    </row>
    <row r="448" spans="1:131" x14ac:dyDescent="0.25">
      <c r="A448" t="s">
        <v>1086</v>
      </c>
      <c r="B448" t="s">
        <v>1077</v>
      </c>
      <c r="C448" t="s">
        <v>1078</v>
      </c>
      <c r="D448" t="s">
        <v>1084</v>
      </c>
      <c r="E448" t="s">
        <v>1085</v>
      </c>
      <c r="F448" t="s">
        <v>1083</v>
      </c>
      <c r="G448" t="s">
        <v>618</v>
      </c>
      <c r="H448" t="s">
        <v>141</v>
      </c>
      <c r="I448" t="s">
        <v>1070</v>
      </c>
      <c r="M448" t="s">
        <v>137</v>
      </c>
      <c r="N448" t="b">
        <v>0</v>
      </c>
      <c r="Y448" s="12">
        <v>816</v>
      </c>
      <c r="AE448" s="12" t="s">
        <v>205</v>
      </c>
      <c r="AI448" s="12" t="s">
        <v>206</v>
      </c>
      <c r="AJ448" s="12" t="s">
        <v>146</v>
      </c>
      <c r="AK448" s="12" t="s">
        <v>1079</v>
      </c>
      <c r="AR448" s="12" t="str">
        <f>HYPERLINK("https://www.google.com/search?q=GAMESA NHB-250","GAMESA NHB-250")</f>
        <v>GAMESA NHB-250</v>
      </c>
      <c r="BN448" s="12" t="s">
        <v>902</v>
      </c>
      <c r="CA448" s="12" t="s">
        <v>218</v>
      </c>
      <c r="DD448" t="s">
        <v>160</v>
      </c>
      <c r="DL448" t="s">
        <v>629</v>
      </c>
      <c r="DV448" t="e">
        <f>IF(#REF!="Horizontal",1,0.5)</f>
        <v>#REF!</v>
      </c>
    </row>
  </sheetData>
  <autoFilter ref="A1:DY448" xr:uid="{00000000-0001-0000-0100-000000000000}">
    <filterColumn colId="8">
      <filters>
        <filter val="Gearbox (Circulating)"/>
      </filters>
    </filterColumn>
  </autoFilter>
  <conditionalFormatting sqref="DY1:DY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Jaramillo Monroy</dc:creator>
  <cp:lastModifiedBy>Jesus Eduardo Jaramillo Monroy</cp:lastModifiedBy>
  <dcterms:created xsi:type="dcterms:W3CDTF">2025-09-17T00:15:05Z</dcterms:created>
  <dcterms:modified xsi:type="dcterms:W3CDTF">2025-09-18T19:05:29Z</dcterms:modified>
</cp:coreProperties>
</file>